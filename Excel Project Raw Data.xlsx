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ussainsarfraz\Downloads\"/>
    </mc:Choice>
  </mc:AlternateContent>
  <xr:revisionPtr revIDLastSave="0" documentId="13_ncr:1_{850DDA3B-A5EF-4016-A66F-199179F892B1}" xr6:coauthVersionLast="47" xr6:coauthVersionMax="47" xr10:uidLastSave="{00000000-0000-0000-0000-000000000000}"/>
  <bookViews>
    <workbookView xWindow="-108" yWindow="-108" windowWidth="24792" windowHeight="13320" xr2:uid="{466C294D-E84E-1A48-AA58-F3C7DDCCBB49}"/>
  </bookViews>
  <sheets>
    <sheet name="Dashboard" sheetId="5" r:id="rId1"/>
    <sheet name="Input Data" sheetId="4" r:id="rId2"/>
    <sheet name="Financials USA" sheetId="1" r:id="rId3"/>
    <sheet name="Financials Canada" sheetId="2" r:id="rId4"/>
    <sheet name="Gross Profit &amp; EBITDA" sheetId="3" r:id="rId5"/>
  </sheets>
  <definedNames>
    <definedName name="_xlchart.v1.4" hidden="1">'Input Data'!$I$41:$I$45</definedName>
    <definedName name="_xlchart.v1.5" hidden="1">'Input Data'!$J$41:$J$45</definedName>
    <definedName name="_xlchart.v5.0" hidden="1">'Input Data'!$I$60</definedName>
    <definedName name="_xlchart.v5.1" hidden="1">'Input Data'!$I$61:$I$62</definedName>
    <definedName name="_xlchart.v5.2" hidden="1">'Input Data'!$J$60</definedName>
    <definedName name="_xlchart.v5.3" hidden="1">'Input Data'!$J$61:$J$62</definedName>
    <definedName name="Slicer_Customer_Type">#N/A</definedName>
    <definedName name="Slicer_Servic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6" i="4" l="1"/>
  <c r="J76" i="4"/>
  <c r="J62" i="4"/>
  <c r="J61" i="4"/>
  <c r="J45" i="4"/>
  <c r="J44" i="4" s="1"/>
  <c r="J43" i="4"/>
  <c r="J42" i="4" s="1"/>
  <c r="J41" i="4"/>
  <c r="E2"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 i="4"/>
  <c r="G3" i="4"/>
  <c r="G4" i="4"/>
  <c r="G5" i="4"/>
  <c r="G6" i="4"/>
  <c r="G7" i="4"/>
  <c r="G8" i="4"/>
  <c r="G9" i="4"/>
  <c r="G10" i="4"/>
  <c r="G11" i="4"/>
  <c r="G12" i="4"/>
  <c r="G13" i="4"/>
  <c r="G14" i="4"/>
  <c r="G15" i="4"/>
  <c r="G16" i="4"/>
  <c r="G17" i="4"/>
  <c r="G18" i="4"/>
  <c r="G19" i="4"/>
  <c r="G20" i="4"/>
  <c r="G21" i="4"/>
  <c r="G22" i="4"/>
  <c r="G23" i="4"/>
  <c r="G24" i="4"/>
  <c r="G25" i="4"/>
  <c r="G26" i="4"/>
  <c r="G27" i="4"/>
  <c r="G28" i="4"/>
  <c r="G29" i="4"/>
  <c r="G38" i="4"/>
  <c r="G39" i="4"/>
  <c r="G40" i="4"/>
  <c r="G41" i="4"/>
  <c r="G42" i="4"/>
  <c r="G43" i="4"/>
  <c r="G44" i="4"/>
  <c r="G45" i="4"/>
  <c r="G46" i="4"/>
  <c r="G47" i="4"/>
  <c r="G48" i="4"/>
  <c r="G49" i="4"/>
  <c r="G50" i="4"/>
  <c r="G51" i="4"/>
  <c r="G52" i="4"/>
  <c r="G53" i="4"/>
  <c r="G54" i="4"/>
  <c r="G55" i="4"/>
  <c r="G56" i="4"/>
  <c r="G57" i="4"/>
  <c r="G58" i="4"/>
  <c r="G59" i="4"/>
  <c r="G60"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 i="4"/>
  <c r="D2" i="3"/>
  <c r="D22" i="3"/>
  <c r="D3" i="3"/>
  <c r="D4" i="3"/>
  <c r="D5" i="3"/>
  <c r="D6" i="3"/>
  <c r="D7" i="3"/>
  <c r="D8" i="3"/>
  <c r="D9" i="3"/>
  <c r="D10" i="3"/>
  <c r="D11" i="3"/>
  <c r="D12" i="3"/>
  <c r="D13" i="3"/>
  <c r="D14" i="3"/>
  <c r="D15" i="3"/>
  <c r="D16" i="3"/>
  <c r="D17" i="3"/>
  <c r="D18" i="3"/>
  <c r="D19" i="3"/>
  <c r="D20" i="3"/>
  <c r="D21"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A8" i="2"/>
  <c r="A12" i="2"/>
  <c r="A13" i="2"/>
  <c r="A18" i="2"/>
  <c r="A19" i="2"/>
  <c r="A7" i="2"/>
  <c r="E122" i="4"/>
  <c r="E3" i="4"/>
  <c r="F3" i="4" s="1"/>
  <c r="E4" i="4"/>
  <c r="F4" i="4" s="1"/>
  <c r="E5" i="4"/>
  <c r="F5" i="4" s="1"/>
  <c r="E6" i="4"/>
  <c r="F6" i="4" s="1"/>
  <c r="E7" i="4"/>
  <c r="F7" i="4" s="1"/>
  <c r="E8" i="4"/>
  <c r="F8" i="4" s="1"/>
  <c r="E9" i="4"/>
  <c r="F9" i="4" s="1"/>
  <c r="E10" i="4"/>
  <c r="F10" i="4" s="1"/>
  <c r="E11" i="4"/>
  <c r="F11" i="4" s="1"/>
  <c r="E12" i="4"/>
  <c r="F12" i="4" s="1"/>
  <c r="E13" i="4"/>
  <c r="F13" i="4" s="1"/>
  <c r="E14" i="4"/>
  <c r="F14"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E29" i="4"/>
  <c r="F29" i="4" s="1"/>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G61" i="4" s="1"/>
  <c r="E62" i="4"/>
  <c r="G62" i="4" s="1"/>
  <c r="E63" i="4"/>
  <c r="G63" i="4" s="1"/>
  <c r="E64" i="4"/>
  <c r="G64" i="4" s="1"/>
  <c r="E65" i="4"/>
  <c r="G65" i="4" s="1"/>
  <c r="E66" i="4"/>
  <c r="G66" i="4" s="1"/>
  <c r="E67" i="4"/>
  <c r="G67" i="4" s="1"/>
  <c r="E68" i="4"/>
  <c r="G68" i="4" s="1"/>
  <c r="E69" i="4"/>
  <c r="G69" i="4" s="1"/>
  <c r="E70" i="4"/>
  <c r="G70" i="4" s="1"/>
  <c r="E71" i="4"/>
  <c r="G71" i="4" s="1"/>
  <c r="E72" i="4"/>
  <c r="G72" i="4" s="1"/>
  <c r="E73" i="4"/>
  <c r="G73" i="4" s="1"/>
  <c r="E74" i="4"/>
  <c r="G74" i="4" s="1"/>
  <c r="E75" i="4"/>
  <c r="G75" i="4" s="1"/>
  <c r="E76" i="4"/>
  <c r="G76" i="4" s="1"/>
  <c r="E77" i="4"/>
  <c r="G77" i="4" s="1"/>
  <c r="E78" i="4"/>
  <c r="G78" i="4" s="1"/>
  <c r="E79" i="4"/>
  <c r="G79" i="4" s="1"/>
  <c r="E80" i="4"/>
  <c r="G80" i="4" s="1"/>
  <c r="E81" i="4"/>
  <c r="G81" i="4" s="1"/>
  <c r="E82" i="4"/>
  <c r="G82" i="4" s="1"/>
  <c r="E83" i="4"/>
  <c r="G83" i="4" s="1"/>
  <c r="E84" i="4"/>
  <c r="G84" i="4" s="1"/>
  <c r="E85" i="4"/>
  <c r="G85" i="4" s="1"/>
  <c r="E86" i="4"/>
  <c r="G86" i="4" s="1"/>
  <c r="E87" i="4"/>
  <c r="G87" i="4" s="1"/>
  <c r="E88" i="4"/>
  <c r="G88" i="4" s="1"/>
  <c r="E89" i="4"/>
  <c r="G89" i="4" s="1"/>
  <c r="E90" i="4"/>
  <c r="G90" i="4" s="1"/>
  <c r="E91" i="4"/>
  <c r="G91" i="4" s="1"/>
  <c r="E92" i="4"/>
  <c r="G92" i="4" s="1"/>
  <c r="E93" i="4"/>
  <c r="G93" i="4" s="1"/>
  <c r="E94" i="4"/>
  <c r="G94" i="4" s="1"/>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A8" i="1"/>
  <c r="A12" i="1"/>
  <c r="A13" i="1"/>
  <c r="A18" i="1"/>
  <c r="A19" i="1"/>
  <c r="A7" i="1"/>
  <c r="N20" i="2"/>
  <c r="M20" i="2"/>
  <c r="L20" i="2"/>
  <c r="K20" i="2"/>
  <c r="J20" i="2"/>
  <c r="I20" i="2"/>
  <c r="H20" i="2"/>
  <c r="G20" i="2"/>
  <c r="F20" i="2"/>
  <c r="E20" i="2"/>
  <c r="E14" i="2"/>
  <c r="N9" i="2"/>
  <c r="N23" i="2" s="1"/>
  <c r="M9" i="2"/>
  <c r="M23" i="2" s="1"/>
  <c r="L9" i="2"/>
  <c r="K9" i="2"/>
  <c r="K23" i="2" s="1"/>
  <c r="J9" i="2"/>
  <c r="J23" i="2" s="1"/>
  <c r="I9" i="2"/>
  <c r="I23" i="2" s="1"/>
  <c r="H9" i="2"/>
  <c r="H23" i="2" s="1"/>
  <c r="G9" i="2"/>
  <c r="G23" i="2" s="1"/>
  <c r="F9" i="2"/>
  <c r="F23" i="2" s="1"/>
  <c r="E9" i="2"/>
  <c r="N20" i="1"/>
  <c r="M20" i="1"/>
  <c r="L20" i="1"/>
  <c r="K20" i="1"/>
  <c r="J20" i="1"/>
  <c r="I20" i="1"/>
  <c r="H20" i="1"/>
  <c r="G20" i="1"/>
  <c r="F20" i="1"/>
  <c r="E20" i="1"/>
  <c r="N14" i="1"/>
  <c r="M14" i="1"/>
  <c r="M23" i="1" s="1"/>
  <c r="L14" i="1"/>
  <c r="K14" i="1"/>
  <c r="J14" i="1"/>
  <c r="I14" i="1"/>
  <c r="H14" i="1"/>
  <c r="G14" i="1"/>
  <c r="F14" i="1"/>
  <c r="E14" i="1"/>
  <c r="E23" i="1" s="1"/>
  <c r="N9" i="1"/>
  <c r="N23" i="1" s="1"/>
  <c r="M9" i="1"/>
  <c r="L9" i="1"/>
  <c r="L23" i="1" s="1"/>
  <c r="K9" i="1"/>
  <c r="K23" i="1" s="1"/>
  <c r="J9" i="1"/>
  <c r="J23" i="1" s="1"/>
  <c r="I9" i="1"/>
  <c r="I23" i="1" s="1"/>
  <c r="H9" i="1"/>
  <c r="H23" i="1" s="1"/>
  <c r="G9" i="1"/>
  <c r="G23" i="1" s="1"/>
  <c r="F9" i="1"/>
  <c r="F23" i="1" s="1"/>
  <c r="E9" i="1"/>
  <c r="F30" i="4" l="1"/>
  <c r="G30" i="4"/>
  <c r="F31" i="4"/>
  <c r="G31" i="4"/>
  <c r="F32" i="4"/>
  <c r="G32" i="4"/>
  <c r="F33" i="4"/>
  <c r="G33" i="4"/>
  <c r="F34" i="4"/>
  <c r="G34" i="4"/>
  <c r="F35" i="4"/>
  <c r="G35" i="4"/>
  <c r="F36" i="4"/>
  <c r="G36" i="4"/>
  <c r="F37" i="4"/>
  <c r="G37" i="4"/>
  <c r="G95" i="4"/>
  <c r="F95" i="4"/>
  <c r="F96" i="4"/>
  <c r="G96" i="4"/>
  <c r="G97" i="4"/>
  <c r="F97" i="4"/>
  <c r="F98" i="4"/>
  <c r="G98" i="4"/>
  <c r="F99" i="4"/>
  <c r="G99" i="4"/>
  <c r="G100" i="4"/>
  <c r="F100" i="4"/>
  <c r="F101" i="4"/>
  <c r="G101" i="4"/>
  <c r="G102" i="4"/>
  <c r="F102" i="4"/>
  <c r="F103" i="4"/>
  <c r="G103" i="4"/>
  <c r="F104" i="4"/>
  <c r="G104" i="4"/>
  <c r="F105" i="4"/>
  <c r="G105" i="4"/>
  <c r="G106" i="4"/>
  <c r="F106" i="4"/>
  <c r="F107" i="4"/>
  <c r="G107" i="4"/>
  <c r="F108" i="4"/>
  <c r="G108" i="4"/>
  <c r="G109" i="4"/>
  <c r="F109" i="4"/>
  <c r="G110" i="4"/>
  <c r="F110" i="4"/>
  <c r="F111" i="4"/>
  <c r="G111" i="4"/>
  <c r="G112" i="4"/>
  <c r="F112" i="4"/>
  <c r="G113" i="4"/>
  <c r="F113" i="4"/>
  <c r="G114" i="4"/>
  <c r="F114" i="4"/>
  <c r="F115" i="4"/>
  <c r="G115" i="4"/>
  <c r="G116" i="4"/>
  <c r="F116" i="4"/>
  <c r="F117" i="4"/>
  <c r="G117" i="4"/>
  <c r="G118" i="4"/>
  <c r="F118" i="4"/>
  <c r="G119" i="4"/>
  <c r="F119" i="4"/>
  <c r="G120" i="4"/>
  <c r="F120" i="4"/>
  <c r="G121" i="4"/>
  <c r="F121" i="4"/>
  <c r="L23" i="2"/>
  <c r="E23" i="2"/>
</calcChain>
</file>

<file path=xl/sharedStrings.xml><?xml version="1.0" encoding="utf-8"?>
<sst xmlns="http://schemas.openxmlformats.org/spreadsheetml/2006/main" count="960" uniqueCount="36">
  <si>
    <t>Year</t>
  </si>
  <si>
    <t>Period start</t>
  </si>
  <si>
    <t>Period end</t>
  </si>
  <si>
    <t>Customer</t>
  </si>
  <si>
    <t>SMB</t>
  </si>
  <si>
    <t>Artificial Intelligence</t>
  </si>
  <si>
    <t>Enterprise</t>
  </si>
  <si>
    <t>Total</t>
  </si>
  <si>
    <t>Marketing</t>
  </si>
  <si>
    <t>Accounting</t>
  </si>
  <si>
    <t>Total Revenue</t>
  </si>
  <si>
    <t>Country</t>
  </si>
  <si>
    <t>Gross Profit Margin</t>
  </si>
  <si>
    <t>EBITDA Margin</t>
  </si>
  <si>
    <t>USA</t>
  </si>
  <si>
    <t>Canada</t>
  </si>
  <si>
    <t>Service</t>
  </si>
  <si>
    <t>Customer Type</t>
  </si>
  <si>
    <t>Revenue</t>
  </si>
  <si>
    <t>Gross Profit</t>
  </si>
  <si>
    <t>EBITDA</t>
  </si>
  <si>
    <t>Index Key</t>
  </si>
  <si>
    <t>Row Labels</t>
  </si>
  <si>
    <t>Grand Total</t>
  </si>
  <si>
    <t>Sum of Revenue</t>
  </si>
  <si>
    <t>Sum of EBITDA</t>
  </si>
  <si>
    <t>Sum of Gross Profit</t>
  </si>
  <si>
    <t>COGS</t>
  </si>
  <si>
    <t>Overheads</t>
  </si>
  <si>
    <t>Sum of Difference</t>
  </si>
  <si>
    <t>Values</t>
  </si>
  <si>
    <t>Gross Margin</t>
  </si>
  <si>
    <t xml:space="preserve">Revenue </t>
  </si>
  <si>
    <t xml:space="preserve">Gross Profit </t>
  </si>
  <si>
    <t xml:space="preserve">EBITDA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</si>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</sst>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theme="1"/>
      <name val="Aptos Narrow"/>
      <scheme val="minor"/>
    </font>
    <font>
      <b/>
      <sz val="12"/>
      <color theme="1"/>
      <name val="Aptos Narrow"/>
      <scheme val="minor"/>
    </font>
    <font>
      <sz val="12"/>
      <color rgb="FF00000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
      <patternFill patternType="solid">
        <fgColor theme="2"/>
        <bgColor indexed="64"/>
      </patternFill>
    </fill>
    <fill>
      <patternFill patternType="solid">
        <fgColor rgb="FF00B0F0"/>
        <bgColor rgb="FF000000"/>
      </patternFill>
    </fill>
  </fills>
  <borders count="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3" fillId="0" borderId="0" xfId="0" applyFont="1"/>
    <xf numFmtId="0" fontId="2" fillId="2" borderId="1" xfId="0" applyFont="1" applyFill="1" applyBorder="1"/>
    <xf numFmtId="0" fontId="2" fillId="2" borderId="0" xfId="0" applyFont="1" applyFill="1"/>
    <xf numFmtId="0" fontId="0" fillId="3" borderId="1" xfId="0" applyFill="1" applyBorder="1"/>
    <xf numFmtId="0" fontId="0" fillId="3" borderId="0" xfId="0" applyFill="1"/>
    <xf numFmtId="15" fontId="0" fillId="3" borderId="0" xfId="0" applyNumberFormat="1" applyFill="1"/>
    <xf numFmtId="0" fontId="0" fillId="0" borderId="1" xfId="0" applyBorder="1"/>
    <xf numFmtId="0" fontId="0" fillId="4" borderId="0" xfId="0" applyFill="1"/>
    <xf numFmtId="0" fontId="0" fillId="4" borderId="1" xfId="0" applyFill="1" applyBorder="1"/>
    <xf numFmtId="0" fontId="3" fillId="0" borderId="0" xfId="0" applyFont="1" applyAlignment="1">
      <alignment horizontal="left" vertical="center"/>
    </xf>
    <xf numFmtId="0" fontId="0" fillId="0" borderId="0" xfId="0" applyAlignment="1">
      <alignment horizontal="left" vertical="center"/>
    </xf>
    <xf numFmtId="164" fontId="0" fillId="0" borderId="0" xfId="0" applyNumberFormat="1"/>
    <xf numFmtId="0" fontId="3" fillId="0" borderId="2" xfId="0" applyFont="1" applyBorder="1" applyAlignment="1">
      <alignment horizontal="left" vertical="center"/>
    </xf>
    <xf numFmtId="0" fontId="0" fillId="0" borderId="2" xfId="0" applyBorder="1" applyAlignment="1">
      <alignment horizontal="left" vertical="center"/>
    </xf>
    <xf numFmtId="0" fontId="0" fillId="0" borderId="3" xfId="0" applyBorder="1"/>
    <xf numFmtId="164" fontId="0" fillId="0" borderId="2" xfId="0" applyNumberFormat="1" applyBorder="1"/>
    <xf numFmtId="3" fontId="0" fillId="0" borderId="0" xfId="0" applyNumberFormat="1"/>
    <xf numFmtId="0" fontId="4" fillId="0" borderId="0" xfId="0" applyFont="1" applyAlignment="1">
      <alignment horizontal="left" vertical="center"/>
    </xf>
    <xf numFmtId="0" fontId="4" fillId="0" borderId="1" xfId="0" applyFont="1" applyBorder="1"/>
    <xf numFmtId="164" fontId="4" fillId="0" borderId="0" xfId="0" applyNumberFormat="1" applyFont="1"/>
    <xf numFmtId="0" fontId="0" fillId="0" borderId="2" xfId="0" applyBorder="1"/>
    <xf numFmtId="0" fontId="4" fillId="0" borderId="4" xfId="0" applyFont="1" applyBorder="1"/>
    <xf numFmtId="0" fontId="0" fillId="0" borderId="4" xfId="0" applyBorder="1"/>
    <xf numFmtId="0" fontId="4" fillId="0" borderId="5" xfId="0" applyFont="1" applyBorder="1"/>
    <xf numFmtId="164" fontId="4" fillId="0" borderId="4" xfId="0" applyNumberFormat="1" applyFont="1" applyBorder="1"/>
    <xf numFmtId="9" fontId="0" fillId="0" borderId="0" xfId="1" applyFont="1"/>
    <xf numFmtId="0" fontId="3" fillId="4" borderId="0" xfId="0" applyFont="1" applyFill="1"/>
    <xf numFmtId="0" fontId="5" fillId="0" borderId="0" xfId="0" applyFont="1"/>
    <xf numFmtId="0" fontId="5" fillId="5" borderId="0" xfId="0" applyFont="1" applyFill="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6">
    <dxf>
      <alignment horizontal="left" vertical="bottom"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fill>
        <patternFill patternType="solid">
          <fgColor rgb="FF000000"/>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Raw Data.xlsx]Input Data!Revenue vs EBITDA</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'Input Data'!$J$5</c:f>
              <c:strCache>
                <c:ptCount val="1"/>
                <c:pt idx="0">
                  <c:v>Sum of Revenue</c:v>
                </c:pt>
              </c:strCache>
            </c:strRef>
          </c:tx>
          <c:spPr>
            <a:solidFill>
              <a:schemeClr val="accent1">
                <a:lumMod val="20000"/>
                <a:lumOff val="80000"/>
              </a:schemeClr>
            </a:solidFill>
            <a:ln>
              <a:noFill/>
            </a:ln>
            <a:effectLst/>
          </c:spPr>
          <c:cat>
            <c:strRef>
              <c:f>'Input Data'!$I$6:$I$16</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Data'!$J$6:$J$16</c:f>
              <c:numCache>
                <c:formatCode>General</c:formatCode>
                <c:ptCount val="10"/>
                <c:pt idx="0">
                  <c:v>172710</c:v>
                </c:pt>
                <c:pt idx="1">
                  <c:v>372232</c:v>
                </c:pt>
                <c:pt idx="2">
                  <c:v>253994</c:v>
                </c:pt>
                <c:pt idx="3">
                  <c:v>341092</c:v>
                </c:pt>
                <c:pt idx="4">
                  <c:v>362808</c:v>
                </c:pt>
                <c:pt idx="5">
                  <c:v>396536</c:v>
                </c:pt>
                <c:pt idx="6">
                  <c:v>316422</c:v>
                </c:pt>
                <c:pt idx="7">
                  <c:v>397088</c:v>
                </c:pt>
                <c:pt idx="8">
                  <c:v>384896</c:v>
                </c:pt>
                <c:pt idx="9">
                  <c:v>447026</c:v>
                </c:pt>
              </c:numCache>
            </c:numRef>
          </c:val>
          <c:extLst>
            <c:ext xmlns:c16="http://schemas.microsoft.com/office/drawing/2014/chart" uri="{C3380CC4-5D6E-409C-BE32-E72D297353CC}">
              <c16:uniqueId val="{00000000-2963-4D41-BCE7-DAABCC2AA58F}"/>
            </c:ext>
          </c:extLst>
        </c:ser>
        <c:dLbls>
          <c:showLegendKey val="0"/>
          <c:showVal val="0"/>
          <c:showCatName val="0"/>
          <c:showSerName val="0"/>
          <c:showPercent val="0"/>
          <c:showBubbleSize val="0"/>
        </c:dLbls>
        <c:axId val="413342384"/>
        <c:axId val="413340224"/>
      </c:areaChart>
      <c:barChart>
        <c:barDir val="col"/>
        <c:grouping val="clustered"/>
        <c:varyColors val="0"/>
        <c:ser>
          <c:idx val="1"/>
          <c:order val="1"/>
          <c:tx>
            <c:strRef>
              <c:f>'Input Data'!$K$5</c:f>
              <c:strCache>
                <c:ptCount val="1"/>
                <c:pt idx="0">
                  <c:v>Sum of EBITDA</c:v>
                </c:pt>
              </c:strCache>
            </c:strRef>
          </c:tx>
          <c:spPr>
            <a:solidFill>
              <a:schemeClr val="accent1">
                <a:lumMod val="50000"/>
              </a:schemeClr>
            </a:solidFill>
            <a:ln>
              <a:noFill/>
            </a:ln>
            <a:effectLst/>
          </c:spPr>
          <c:invertIfNegative val="0"/>
          <c:cat>
            <c:strRef>
              <c:f>'Input Data'!$I$6:$I$16</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Data'!$K$6:$K$16</c:f>
              <c:numCache>
                <c:formatCode>General</c:formatCode>
                <c:ptCount val="10"/>
                <c:pt idx="0">
                  <c:v>31368.400000000001</c:v>
                </c:pt>
                <c:pt idx="1">
                  <c:v>47960.799999999996</c:v>
                </c:pt>
                <c:pt idx="2">
                  <c:v>44749.399999999994</c:v>
                </c:pt>
                <c:pt idx="3">
                  <c:v>43972.399999999987</c:v>
                </c:pt>
                <c:pt idx="4">
                  <c:v>39367.799999999996</c:v>
                </c:pt>
                <c:pt idx="5">
                  <c:v>73539.200000000012</c:v>
                </c:pt>
                <c:pt idx="6">
                  <c:v>37103.200000000004</c:v>
                </c:pt>
                <c:pt idx="7">
                  <c:v>70410</c:v>
                </c:pt>
                <c:pt idx="8">
                  <c:v>73763.199999999997</c:v>
                </c:pt>
                <c:pt idx="9">
                  <c:v>81941.400000000023</c:v>
                </c:pt>
              </c:numCache>
            </c:numRef>
          </c:val>
          <c:extLst>
            <c:ext xmlns:c16="http://schemas.microsoft.com/office/drawing/2014/chart" uri="{C3380CC4-5D6E-409C-BE32-E72D297353CC}">
              <c16:uniqueId val="{00000001-2963-4D41-BCE7-DAABCC2AA58F}"/>
            </c:ext>
          </c:extLst>
        </c:ser>
        <c:dLbls>
          <c:showLegendKey val="0"/>
          <c:showVal val="0"/>
          <c:showCatName val="0"/>
          <c:showSerName val="0"/>
          <c:showPercent val="0"/>
          <c:showBubbleSize val="0"/>
        </c:dLbls>
        <c:gapWidth val="259"/>
        <c:axId val="413342384"/>
        <c:axId val="413340224"/>
      </c:barChart>
      <c:catAx>
        <c:axId val="41334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13340224"/>
        <c:crosses val="autoZero"/>
        <c:auto val="1"/>
        <c:lblAlgn val="ctr"/>
        <c:lblOffset val="100"/>
        <c:noMultiLvlLbl val="0"/>
      </c:catAx>
      <c:valAx>
        <c:axId val="413340224"/>
        <c:scaling>
          <c:orientation val="minMax"/>
          <c:max val="4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13342384"/>
        <c:crosses val="autoZero"/>
        <c:crossBetween val="between"/>
        <c:dispUnits>
          <c:builtInUnit val="thousands"/>
          <c:dispUnitsLbl>
            <c:layout>
              <c:manualLayout>
                <c:xMode val="edge"/>
                <c:yMode val="edge"/>
                <c:x val="1.4184397163120567E-2"/>
                <c:y val="0.27303775221002036"/>
              </c:manualLayout>
            </c:layout>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GB" sz="2000"/>
                    <a:t>Thousands</a:t>
                  </a:r>
                </a:p>
              </c:rich>
            </c:tx>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Raw Data.xlsx]Input Data!Service Profitability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 Data'!$J$26</c:f>
              <c:strCache>
                <c:ptCount val="1"/>
                <c:pt idx="0">
                  <c:v>Revenue </c:v>
                </c:pt>
              </c:strCache>
            </c:strRef>
          </c:tx>
          <c:spPr>
            <a:solidFill>
              <a:schemeClr val="accent1">
                <a:lumMod val="50000"/>
              </a:schemeClr>
            </a:solidFill>
            <a:ln>
              <a:noFill/>
            </a:ln>
            <a:effectLst/>
          </c:spPr>
          <c:invertIfNegative val="0"/>
          <c:cat>
            <c:strRef>
              <c:f>'Input Data'!$I$27:$I$30</c:f>
              <c:strCache>
                <c:ptCount val="3"/>
                <c:pt idx="0">
                  <c:v>Accounting</c:v>
                </c:pt>
                <c:pt idx="1">
                  <c:v>Artificial Intelligence</c:v>
                </c:pt>
                <c:pt idx="2">
                  <c:v>Marketing</c:v>
                </c:pt>
              </c:strCache>
            </c:strRef>
          </c:cat>
          <c:val>
            <c:numRef>
              <c:f>'Input Data'!$J$27:$J$30</c:f>
              <c:numCache>
                <c:formatCode>General</c:formatCode>
                <c:ptCount val="3"/>
                <c:pt idx="0">
                  <c:v>766694</c:v>
                </c:pt>
                <c:pt idx="1">
                  <c:v>701974</c:v>
                </c:pt>
                <c:pt idx="2">
                  <c:v>1976136</c:v>
                </c:pt>
              </c:numCache>
            </c:numRef>
          </c:val>
          <c:extLst>
            <c:ext xmlns:c16="http://schemas.microsoft.com/office/drawing/2014/chart" uri="{C3380CC4-5D6E-409C-BE32-E72D297353CC}">
              <c16:uniqueId val="{00000000-CA63-4638-9B81-FFE73CA59DA1}"/>
            </c:ext>
          </c:extLst>
        </c:ser>
        <c:ser>
          <c:idx val="1"/>
          <c:order val="1"/>
          <c:tx>
            <c:strRef>
              <c:f>'Input Data'!$K$26</c:f>
              <c:strCache>
                <c:ptCount val="1"/>
                <c:pt idx="0">
                  <c:v>Gross Profit </c:v>
                </c:pt>
              </c:strCache>
            </c:strRef>
          </c:tx>
          <c:spPr>
            <a:solidFill>
              <a:schemeClr val="accent1">
                <a:lumMod val="60000"/>
                <a:lumOff val="40000"/>
              </a:schemeClr>
            </a:solidFill>
            <a:ln>
              <a:noFill/>
            </a:ln>
            <a:effectLst/>
          </c:spPr>
          <c:invertIfNegative val="0"/>
          <c:cat>
            <c:strRef>
              <c:f>'Input Data'!$I$27:$I$30</c:f>
              <c:strCache>
                <c:ptCount val="3"/>
                <c:pt idx="0">
                  <c:v>Accounting</c:v>
                </c:pt>
                <c:pt idx="1">
                  <c:v>Artificial Intelligence</c:v>
                </c:pt>
                <c:pt idx="2">
                  <c:v>Marketing</c:v>
                </c:pt>
              </c:strCache>
            </c:strRef>
          </c:cat>
          <c:val>
            <c:numRef>
              <c:f>'Input Data'!$K$27:$K$30</c:f>
              <c:numCache>
                <c:formatCode>General</c:formatCode>
                <c:ptCount val="3"/>
                <c:pt idx="0">
                  <c:v>497113.79999999987</c:v>
                </c:pt>
                <c:pt idx="1">
                  <c:v>416294.99999999988</c:v>
                </c:pt>
                <c:pt idx="2">
                  <c:v>1161788.3999999994</c:v>
                </c:pt>
              </c:numCache>
            </c:numRef>
          </c:val>
          <c:extLst>
            <c:ext xmlns:c16="http://schemas.microsoft.com/office/drawing/2014/chart" uri="{C3380CC4-5D6E-409C-BE32-E72D297353CC}">
              <c16:uniqueId val="{00000001-CA63-4638-9B81-FFE73CA59DA1}"/>
            </c:ext>
          </c:extLst>
        </c:ser>
        <c:ser>
          <c:idx val="2"/>
          <c:order val="2"/>
          <c:tx>
            <c:strRef>
              <c:f>'Input Data'!$L$26</c:f>
              <c:strCache>
                <c:ptCount val="1"/>
                <c:pt idx="0">
                  <c:v>EBITDA </c:v>
                </c:pt>
              </c:strCache>
            </c:strRef>
          </c:tx>
          <c:spPr>
            <a:solidFill>
              <a:schemeClr val="bg1"/>
            </a:solidFill>
            <a:ln>
              <a:noFill/>
            </a:ln>
            <a:effectLst/>
          </c:spPr>
          <c:invertIfNegative val="0"/>
          <c:cat>
            <c:strRef>
              <c:f>'Input Data'!$I$27:$I$30</c:f>
              <c:strCache>
                <c:ptCount val="3"/>
                <c:pt idx="0">
                  <c:v>Accounting</c:v>
                </c:pt>
                <c:pt idx="1">
                  <c:v>Artificial Intelligence</c:v>
                </c:pt>
                <c:pt idx="2">
                  <c:v>Marketing</c:v>
                </c:pt>
              </c:strCache>
            </c:strRef>
          </c:cat>
          <c:val>
            <c:numRef>
              <c:f>'Input Data'!$L$27:$L$30</c:f>
              <c:numCache>
                <c:formatCode>General</c:formatCode>
                <c:ptCount val="3"/>
                <c:pt idx="0">
                  <c:v>131267.00000000003</c:v>
                </c:pt>
                <c:pt idx="1">
                  <c:v>114326.60000000003</c:v>
                </c:pt>
                <c:pt idx="2">
                  <c:v>298582.20000000013</c:v>
                </c:pt>
              </c:numCache>
            </c:numRef>
          </c:val>
          <c:extLst>
            <c:ext xmlns:c16="http://schemas.microsoft.com/office/drawing/2014/chart" uri="{C3380CC4-5D6E-409C-BE32-E72D297353CC}">
              <c16:uniqueId val="{00000002-CA63-4638-9B81-FFE73CA59DA1}"/>
            </c:ext>
          </c:extLst>
        </c:ser>
        <c:dLbls>
          <c:showLegendKey val="0"/>
          <c:showVal val="0"/>
          <c:showCatName val="0"/>
          <c:showSerName val="0"/>
          <c:showPercent val="0"/>
          <c:showBubbleSize val="0"/>
        </c:dLbls>
        <c:gapWidth val="219"/>
        <c:overlap val="-27"/>
        <c:axId val="612597568"/>
        <c:axId val="612600448"/>
      </c:barChart>
      <c:catAx>
        <c:axId val="61259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12600448"/>
        <c:crosses val="autoZero"/>
        <c:auto val="1"/>
        <c:lblAlgn val="ctr"/>
        <c:lblOffset val="100"/>
        <c:noMultiLvlLbl val="0"/>
      </c:catAx>
      <c:valAx>
        <c:axId val="6126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1259756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Raw Data.xlsx]Input Data!doughnut 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'Input Data'!$J$72</c:f>
              <c:strCache>
                <c:ptCount val="1"/>
                <c:pt idx="0">
                  <c:v>Total</c:v>
                </c:pt>
              </c:strCache>
            </c:strRef>
          </c:tx>
          <c:spPr>
            <a:solidFill>
              <a:schemeClr val="accent1"/>
            </a:solidFill>
          </c:spPr>
          <c:dPt>
            <c:idx val="0"/>
            <c:bubble3D val="0"/>
            <c:spPr>
              <a:solidFill>
                <a:schemeClr val="bg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B00-4038-83AE-B14F0BCCC0DB}"/>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B00-4038-83AE-B14F0BCCC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'Input Data'!$I$73:$I$74</c:f>
              <c:strCache>
                <c:ptCount val="2"/>
                <c:pt idx="0">
                  <c:v>Sum of Gross Profit</c:v>
                </c:pt>
                <c:pt idx="1">
                  <c:v>Sum of Difference</c:v>
                </c:pt>
              </c:strCache>
            </c:strRef>
          </c:cat>
          <c:val>
            <c:numRef>
              <c:f>'Input Data'!$J$73:$J$74</c:f>
              <c:numCache>
                <c:formatCode>General</c:formatCode>
                <c:ptCount val="2"/>
                <c:pt idx="0">
                  <c:v>1612959.6999999997</c:v>
                </c:pt>
                <c:pt idx="1">
                  <c:v>2255547.7999999998</c:v>
                </c:pt>
              </c:numCache>
            </c:numRef>
          </c:val>
          <c:extLst>
            <c:ext xmlns:c16="http://schemas.microsoft.com/office/drawing/2014/chart" uri="{C3380CC4-5D6E-409C-BE32-E72D297353CC}">
              <c16:uniqueId val="{00000004-0B00-4038-83AE-B14F0BCCC0D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Raw Data.xlsx]Input Data!doughnut 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bg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solidFill>
          <a:ln>
            <a:noFill/>
          </a:ln>
          <a:effectLst>
            <a:outerShdw blurRad="317500" algn="ctr" rotWithShape="0">
              <a:prstClr val="black">
                <a:alpha val="25000"/>
              </a:prstClr>
            </a:outerShdw>
          </a:effectLst>
        </c:spPr>
      </c:pivotFmt>
      <c:pivotFmt>
        <c:idx val="6"/>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'Input Data'!$M$72</c:f>
              <c:strCache>
                <c:ptCount val="1"/>
                <c:pt idx="0">
                  <c:v>Total</c:v>
                </c:pt>
              </c:strCache>
            </c:strRef>
          </c:tx>
          <c:spPr>
            <a:solidFill>
              <a:schemeClr val="bg1"/>
            </a:solidFill>
          </c:spPr>
          <c:dPt>
            <c:idx val="0"/>
            <c:bubble3D val="0"/>
            <c:spPr>
              <a:solidFill>
                <a:schemeClr val="bg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B87-472B-B75C-2FD74B341FE8}"/>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B87-472B-B75C-2FD74B341F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'Input Data'!$L$73:$L$74</c:f>
              <c:strCache>
                <c:ptCount val="2"/>
                <c:pt idx="0">
                  <c:v>Sum of EBITDA</c:v>
                </c:pt>
                <c:pt idx="1">
                  <c:v>Sum of Difference</c:v>
                </c:pt>
              </c:strCache>
            </c:strRef>
          </c:cat>
          <c:val>
            <c:numRef>
              <c:f>'Input Data'!$M$73:$M$74</c:f>
              <c:numCache>
                <c:formatCode>General</c:formatCode>
                <c:ptCount val="2"/>
                <c:pt idx="0">
                  <c:v>434101.20000000007</c:v>
                </c:pt>
                <c:pt idx="1">
                  <c:v>2255547.7999999998</c:v>
                </c:pt>
              </c:numCache>
            </c:numRef>
          </c:val>
          <c:extLst>
            <c:ext xmlns:c16="http://schemas.microsoft.com/office/drawing/2014/chart" uri="{C3380CC4-5D6E-409C-BE32-E72D297353CC}">
              <c16:uniqueId val="{00000004-0B87-472B-B75C-2FD74B341FE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97D43512-97C0-408D-8058-EAB25D507207}">
          <cx:spPr>
            <a:solidFill>
              <a:schemeClr val="accent1">
                <a:lumMod val="50000"/>
              </a:schemeClr>
            </a:solidFill>
          </cx:spPr>
          <cx:dataPt idx="1">
            <cx:spPr>
              <a:solidFill>
                <a:sysClr val="window" lastClr="FFFFFF"/>
              </a:solidFill>
            </cx:spPr>
          </cx:dataPt>
          <cx:dataPt idx="3">
            <cx:spPr>
              <a:solidFill>
                <a:sysClr val="window" lastClr="FFFFFF"/>
              </a:solidFill>
            </cx:spPr>
          </cx:dataPt>
          <cx:dataId val="0"/>
          <cx:layoutPr>
            <cx:subtotals>
              <cx:idx val="0"/>
              <cx:idx val="2"/>
              <cx:idx val="4"/>
            </cx:subtotals>
          </cx:layoutPr>
        </cx:series>
      </cx:plotAreaRegion>
      <cx:axis id="0">
        <cx:catScaling gapWidth="2.19000006"/>
        <cx:tickLabels/>
        <cx:txPr>
          <a:bodyPr spcFirstLastPara="1" vertOverflow="ellipsis" horzOverflow="overflow" wrap="square" lIns="0" tIns="0" rIns="0" bIns="0" anchor="ctr" anchorCtr="1"/>
          <a:lstStyle/>
          <a:p>
            <a:pPr algn="ctr" rtl="0">
              <a:defRPr sz="1050">
                <a:solidFill>
                  <a:schemeClr val="bg1"/>
                </a:solidFill>
              </a:defRPr>
            </a:pPr>
            <a:endParaRPr lang="en-US" sz="1050" b="0" i="0" u="none" strike="noStrike" kern="1200" baseline="0">
              <a:solidFill>
                <a:schemeClr val="bg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kern="1200" baseline="0">
              <a:solidFill>
                <a:schemeClr val="bg1"/>
              </a:solidFill>
              <a:latin typeface="Aptos Narrow" panose="0211000402020202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1DA3-4BD2-AA14-9AF5D69386FE}">
          <cx:tx>
            <cx:txData>
              <cx:f>_xlchart.v5.2</cx:f>
              <cx:v>Revenue</cx:v>
            </cx:txData>
          </cx:tx>
          <cx:dataLabels>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1100" b="0" i="0" u="none" strike="noStrike" baseline="0">
                      <a:solidFill>
                        <a:schemeClr val="tx1"/>
                      </a:solidFill>
                      <a:latin typeface="Aptos Narrow" panose="02110004020202020204"/>
                    </a:rPr>
                    <a:t>467756</a:t>
                  </a:r>
                </a:p>
              </cx:txPr>
            </cx:dataLabel>
          </cx:dataLabels>
          <cx:dataId val="0"/>
          <cx:layoutPr>
            <cx:geography cultureLanguage="en-US" cultureRegion="SA" attribution="Powered by Bing">
              <cx:geoCache provider="{E9337A44-BEBE-4D9F-B70C-5C5E7DAFC167}">
                <cx:binary>7HvZctXItu2vEDxfUdmncseuHXGl1djYBozpar8ojAEplVKmpExJKX39mcIuChb7mFMR9+E8XIKo
xVpqspvNGGPO+udd/Mdd8/l2eBLbxvp/3MXfn1YhdP/47Td/V31ub/2zVt8Nzrsv4dmda39zX77o
u8+/fRpuZ23L3wjC7Le76nYIn+PTf/0T3lZ+dpfu7jZoZ6/Hz8Py+rMfm+AfufYfLz25c6MN2+Ml
vOn3p/mtvf10+/TJZxt0WN4s3effn/5wy9Mnv52+6KdBnzQwrzB+gmcFecYlValAHH39Q54+aZwt
Hy4nSjwTKMUo5eTb9fuxX9y28Pyv5/N1NrefPg2fvX/y8PnXcz/M/a+ftXf5/cJzt00z/79f1/Xb
jxv7r3+e/AArPfnlu70/3ZZfXTrd+rc3MIn/V/tO1TOOKJeMyvt9pSf7rp4hnFJBFVNf/7A/x77f
97dWh8+fntyE2/DZ/3npP5nDf97+k8dPTuHk6ulhvL35X3AY/9P1/z13+P/H8t/7z7cwsrsNt/uv
8ec7F3r86p++d/LoY+5072nnn35/SiQY/7eotr3i4bl7V7i5/fgtIH67/fOtD78/TQR9RjCTRFGk
UEoQxU+fzJ+/XeLwkyIk5ZgLwp8+sW4I1e9PsXwmOCISMQGPCEzBOb0b/7yE2RYrGZdSUCG/hftX
rllKZ79txMP3J3ZsXzltg4cXp0+fdPe3bTPlPBVcQXQllHCZppLD9Lq729eQUra7/w+uOyHXIiW7
NajkuBh5RnursnScv5B1zfz8RnSlz2s63/kSnyus0Xmydi+obdOdW4fLxk7kiiJ6aBLKrnj443vX
/WHGd65bBl1WDznq29d/Xf2Z+L7G1r9+37LcX99eTp+HMA6fn1zddv7JYbSfvua+02c28/r20F/h
ejvUb7H7xEjuM+d/Y0GPXvyfmZdSj1nXcYQI2942P5jY9siDhaXpZmEKDg+lTAmkwFYfLEyRZ4Rw
SJ8p/DelfLv0l4WlGHKuwphwBjeAYfxpYfSZpKlMFVgHw0gw/ncsjEtI4N+bGBZKCkKEhLkxRtIU
zPx7EzNzaya6WnNkfdR72+E+czyYXWvDK6TTdh8wb3NTl1/SGts3SA7JIUzJdSzkWV0vw45UnT+w
aMvMjmQ5L7gpz4mRs8xSL/eFqY6z7WmZLeXc5g7Tj2SNdrewrsvGZf63q7XJylBlq+XjZaqZzngi
ec4oujbp9MG2bZ2pYr7F3Yyy0kzlFxnTad8vS5WTuf/C8drsy1pUWaAiX2VnjlPX3FiZ8ANjilaZ
H5e4H1LvsrEaic08DcWa4abqzqwfy0OY0ZsS1zijWtJdU6Xp+6B6FHZNyaw+NkOtMyqxuVtCFy4X
vNADXBZXZIrLdVd35ZpRXzdnhaZ+l5qWiXwu3JqNWr+QHX4RYS+v0tnbA9Pd86mX+kjTnuzqYshF
0ldlRufOX4w80TKzVe+OFR34v/tipLsBBXRV4+FFV+O3qMB11hojjqtNyi+KJ8OUdUq9cGVV5uPS
sXKnavJHahq/w87XmWlNl2lmk7PZ9F1myvlD2eor5of1wFrG3y7t8pZjRc76GZVXthrbc29TcusG
25S7fglspyOv/t3MweUWr6TPZjP55zw2f6BZLJ+47P2lZo0491gsH1yf+I/E9bdoXSzLTMeqkEna
c5SRIU5Hsy5jhN1U85rN7SzzOg76fOaJeqmaimY9d/1z6YokE63t3wSS6LwTPsm0srnvSPNhZUV7
nho87qbaDRepn8WnckjHzA7CfNLDqOss9NNIrithaXIV5r4OZyGSkM3BxPaymENS7zmvzPN14jXP
p1hMQx6Hptkpjop8jGVvzyaXFN37Im1MfTYuxL6uyqapMxLDnKFZrrnjMlyuJaeXox1fY07ink9T
lVsrp2xYqzRHQ/pezM0LlcZsSeiSt13znoTZ7dqle+cL5Xd0WG6SnrEb01BzIV1luwz3pkW70S/F
mKNKLsv7DlHWf5iSxl3xnqZnYZjCntvRv4/JrA8aa3mXxrrudkYl643wpnjeajjAshTLe1TM/hDn
NtzUc7CXbcuLN8i16lgn0vp8iDy9IAMH96jT6SB5T14bNzQvo9ftB7qAyzajQ5cSrTXd63Gp3Uuy
zAnYQ0v1wc5p8t61Ir4aLUm6bCF9AN+vp7mCM0zq45Qgd9Zxfz0M8QsqJpQvs8O5DEpmIh2b3Yox
3q2ajs91inRWVe3Lpig+GBR3ySTRWTK/7J0cd5Ezcy4Goc/6of08xjnmQlF76Cd0aGumstY2447a
xGSWYpUzy+Ib3CyZLercy4HsbVsexrpMXhe6fEFq/6lANHwO1dAdRq1w1WSMmSKZLhiuquSt8SKt
9OVQJk3jX3TMaL7sy9mv9bL3knGtDoIXRLmdn7vxHUrpxVoIekcHYz6FohEfuLPiVeEr9rzvcRaG
8GpdE56PZUgzFUTMknRtzvqetWfdOpAmowAprmvN70JYfFZHJXJSdEdbTWrfMLxmRVlN73xV0Bc2
eS16v4i8ELLbMYiPV2MfXdbYur5Uqan+qFUoXtJ+na4K3ZZX42ibfk+oLQ7VkIgX7ehDv/cJPXC3
XsZZX4ZCXqTj4LIY7Uey0HOFVJVN3tps7Mac6KjPi2K4iWWDd16ha77Gi6Kzcjd3Yc0p703u6xgP
ienNc9f/0ccq15RPWdk14cIuffpqaAq9H6tueqnq1mRJS+t3rURj1jXI+gwVfZV1uEZJFsLAD8hg
kzkUZcwKKdsjxs7pfdHOu3VY7xrOrmPnhckQnafzru3IzuqKfpkk3yfNKLJknJbrLWbmkourlcnp
jK/4As6L5kQgd66tjhnv+zErYuXeCNMfpBb4Zdok9sxGFD8RbprD7L14pcoFP49B33imllwOi3tD
RdEAV51D3gGH3i2DnPcdGcqzdkrKPdhvl2NNMMpsQDfNkLjXk48i07H/gJK0uQh9LfeyLD9BnDrE
3iV5j8DjXBzqTI6qJbmp+vUmYPWOl04erK0OgA7Mbp2a92Wn58wxXu6oCEse0TK8KkkEe4wx5A1Z
s2EoLrkul3+HtdW7tCzTjBYNOoh1PraysTsXw7HAc7OvWjW/DLjNB2LesmYqj72ddDb0fTykzKQH
D7nyjQzl24L1AxyzB4hp5M00rx/WaTY3k6/7XcHm6bKZeHvGJl/lLo7VYUSF3QEGWXLOypwO9RFr
616UcXzhFWn3uCfphao7lTEdl/NA7HJRpQSfNeM85AWDPIaKFBY6LzSzStZ7vejMA3POYYoo031y
naJxgJCy2JzWxUtT4BdGAvxwo58OhtVFlsppuCCiiHkbITANK0SqYIo3Y1wP9cg+rGubUz0lff+6
iqPXkIA84TV7TqeKTVVGK56mGVlwV+0rWSD5LmlKc0xoOpEdMVUabr3v7MtFuZcWkwMBiGEa+w5C
N8+ASOg8TAHvo07sPgxVfWAFOQt2Yu9xIPw4++osKnVFZH/tbD3neFquqGNDTssKMqC4cgaijV52
dih3NWqzKtHn5WCHzOnU5im2h3q2WanfQ1q9naZyX5M4ZUoZkS1gFmmc82HpB8BaYr+g8MKvRQeR
sboQajm3ld5HJzI/DXdjV1ZX5aTiTTJXrwCKvtYTrg6VxOIsMQ7tiDcMQBRkO7Fr4jRmYPMQudLC
3PWuwjddMAfZbDitqseMzAV/y+eu2vGiX3alG9XNTFrYy1l95mq0VyP2EGQiu4t+bQ8uyuE6GcYJ
kkgRupedqS+FSlEYs5FNM6l2all0vR8bAN77bkw5D5lzlV6vhqEk4y6k0ZkXzFPKr8zo26LOKI+1
PE9UmOes0sWSnLOlqqf3Rs1a3S2LX0iR/X1q9Ma18PeU43xPcf6H7On42W1k1p++6n8hXaKP0qUf
9cCN5G73P3AlTp4JSlPQE4EMpYJurOeBK2EG1PeBHKX0GWbAmhhVisG/BFCaB3LE8DMBrJsiLsR2
4W9xI4Z+oEYsxakSLAUur1IJdIsAP/ueGqXdihIn5/IGFNJ1XT76qrIV20E6nPrwtk35KMpM9nE2
Sda4EXf2VV1WqgfiUJednw8T4nyxWSBTXfu8XVs/s3NWJqVExyBWWt82wTivj6ueQ+deqomBBZ9R
1GHlz+dB87q9omVhNgdfZdKQa0HWVN+gBTMYhptk6dabwo7MH4phJAN+Uc8qBc5Tc4nhWzlV0ej8
YVp+8aqHyAN8gja7JknUMNykS0KIyWM/9q7ZYetrtGSDVZ5hmxW4SCE/1Wu6YpYl2qKhuPqOL/8H
kUNsIsZfIgeTQGOBPWFgslQJLOnGUL8TOVqQHTrL0vI9FqWdVdatfhJoDwJMKm1ubF+WFtL4XPQf
kwiAg+W6Io2NB9N1o343aTE7ks1cp7AlocWFbXdjIIV1+xIOp17OpySUasgGuvKWZWkYUzXkJi0o
bLZojYcTgAjdywYwSDvTLi9LCZAja8qx7yGQVnMD8yoRB8CwLxOIQeroy5oKl6m+Lcj0vI1FZ9w+
lQTJazq3ZSpzs+BJfhqcwe4tg32E2dkEbS8Ug0MwdKzKqW2yRYQGbue8LQM5SwC7y5uEQvryO9kX
AeGLFQj6KI+ATCHXH1KseNdelRao56cBNK1xPqxAKqLc1WwEkJT3RTrB+/teJ9N0mUZAhMu5CaGA
b6x2NYzWc2Zh2X2HEUxhS/IsOTZR46TPxYi2+etx1LDsqia8//j4mYOPnxw5JAsCsghjmIPGfXLk
gwlcNPU8vFvpEEt5Tjkr1vk5qudJ8F1fORGqPSlXs8znbnQrGHkSzBzqM9wWXJizx6fzo8wGFshB
WoMSBuUpFzxVJ9PRvApExVi89UgJMI1YozJWOyzmJWn3nYjbVgGfabvqOiFNJ6bLqEeokuSPzwPL
033hEP0EZoIJCruzBcDvXWFNZ12PnZdvpTOOty+mAWJNfRwGowW7VnAghcjKEeyxWTNi1t4NWdJP
GExLLymbl0OxjtvHNC9qrnbt2PGAX8p6Wmjyso3NlH50NIyluYquoOYqbQ0W14+vQpwuAlQuDOIo
pwhisUy3sPqdP4OaALGJd8vbSPq64pmYVgrbyMbZqQWkDd/T6blKrHdAVh4fGiOQXn+0LIkhvgkC
poVBnD2N2e2A2VittHwrWjEuAO+m1sj+EDxQJX0saLMNLvW0+QBzQ1uTHCV+Uv2VXbm39EUH8hR4
RKXLzVMnQD7rnI3e4c0uyqQawm6osKzVSze2oO8dxWi3cDJPlYN3iqFfJMkIXiVEYTetk/qjaE0d
u9edVTV4MauGxraZ4mPC1IFCBgAn811diP6wEMc3x/W+gWkucZHwZkW7EeLOMg0jzKj16eaVidZb
TCqSKODwkQJzGvJhiib4XMu0GmTe9ePm25TIBa6l92+ZerG9GoVaw7oi81tgiV3Vwo+pteW2vGi3
Nddagd9H53sYnDmMWXVXaIDky4WnsZi7zAmL+o8QRC3ssPUrROr9inxFul3REIF3uNOoggQ4qLam
Jgs4lZ0+ByEQbyS30waOxHaynIrrzoxWJLfuPkA2suzh8GIfmtj9MeHQwKvpYmG/3yOThhpfNjVx
xpzVBXEgIWVrAt4AAXadAtw6d80265QVHaxL1eWU3LApbFGtvZ9nn+g5ubGd3/IoKDllVedkIUOL
D0szI48zPYqGq8yiYvRoD+mc9h9FHRI4podXlVsNVrzk9xE1htLF122L/LzvS+OBQHHdxEDejK7f
DldzgevmfZjmNDUZKKS4Lp6bym52NodRifGCoMVDjLEFKWFLH/cN/lPQlYKB70EKglQLznECZypR
IL+uaXjnRqZXkxfrqnoQ1e5jXtIPEbZMTGYFo5ltjeHD2X6G2T3cQrX2fb+jdRuSa0XSLVlTRwY4
xTDLYb6ZhgK1fjc2gwGrUhXZvKwbBBZH3tal77NoQNlkNzWOQEp1hpTvHL8JjpOwvkax9uXrOdY8
istergsCvYOTrpfjBb1PoIR6bq4ckiUMcP8FU7TZt7u3dqBNG+6p03qL2ZxNyTJnXLcT2MGw8N4n
rzrsGtSJzPrJher9Q7bDkSyw4qTs6lHlfaLQ3OdJt1g4D0iPAKuA5uiyCHnJ6hKhg61BTJaX5ZgO
/g7xZAbHxYETyLEUr2OX7JIm9F4854aVhdq3LV5tPLYcWyoOBhebU/MuWUn9yyj4YxBMkVBb4Rji
3yYXga7/YwTuWkYhJnFzI8XKHIhjxbQACiQWjJPkD9CwYKytgZVG1fR1luK6wvyCLnSGqLy6Hmn2
N7NbigCvA65XChFFfgZ6q+4IB+Y+vOWBzLD4dXLbR+P7wqur0E28ew3BN3UQrwPycb5TjZLdcowk
navkDlgrAkCscBypOJLZTX2a26KZILu00YY6Zv1Q1ExeJWkt2PlQ1gCuLx53o5MUnWIo1igkU2iK
gMoJ1Pl+3NvI52TsSE9u8DL0ZZLrKa4lSM4GsC1ga5AaQaE9J8kc5u44LIgw8ubxGZygFZgB+DEW
HAwbbc58ChKGAfN57ecbqDYayd/PKEa+HBKFWzB5I6mZlqwSQ4CzxinbTheEMwo1kL87D0U41K9E
yjhjP+2E6QlrRd93N/exkXC/BWTwfEj7h1CgCMcyN0RtDgFeD3AkVO2Gex+fxgncALII4ndKmOAw
G0ZOjb02I8gpgno4EJ+4FvQQrBI6ZhEaSEj6RYS69eaiZlHK8hfU5aeTgIEB6UiGwBRgF05w47q4
wTizdjegxQhgfxAsJKSTqVAJfDwEH2pH0AnPaTVNy7uiwLxxv9gBgM4nDo+hUggVaSUJmCec6YlR
zk3qvGlVd+OqMUL4o/cOVtUWTu+sCQHC+TEFUR/c7QHEtO1iQaqrXFFDXc1YDnT0gE21hWyTIMCG
etSQ8qrAt4TAOv51TfcvpgAkK2CozVL4Mp+ryIc0q/ouCfGNThI31i9D0QaX7JE0QpHzlFXMiAti
pw1ozAUT/UeepBtwGOTikmHXEFbq4XWp0s2KOzSM9fIcGFIDGmSXFNChdKgrRGAq+p6OBTW0GxAS
87xlqvvwX09gfR+hurWBHK+g9OMvJx6pLo4Goy1pYKJLKjIQlKD2fiCTX91bG9cBcgy2K4Mcf58B
HRqWIDtQhk2Aa8Y2LUyWOQ5U6wLEQqCJB4SLpMDvE84b88IWLuB4VTScQDoKdQlrPHAagNNcDl27
DjoLS1EgfSjSophUNjPTTf2OpTbWU5aCWL2EfK1F0r2FfXGQaVe9HfYB+KSBKaxQsoIpuHvMMg8t
4VAWW4OsFqiWWg3XVhI2OWF2bMtX3bQimIoeVwYTa1IOdYtzkQ4VvIzHpYJbyD1VTcC74M6HBzC4
NRgK1FA2MgmYbdvggi4lvFqmQgNGbCsMkGoKbBMSUD2xCAWMQWwI0M4AFwCLdiBnDjkoo5tFeSs2
oBWiaCCfNh1keLTHvIAQugdAsOVqHJMEhmOxIsNwWDXsVXWgrV1KDvWclplm+hAlMUt5MY4OGtRy
0tSy6KEi5QCPoKD4ag5+smH+0hfyK3rHYYE9Smrn6hlKUgbKPXlppwBkKikt2Liguk59Lu9dYwVR
BuJTWA3tAsqKqp3S5LJdy0FDhaH0S4+mnU7qtPrSAh8gU0YUtGj5a9aENcrng1IbbqstWyUUAFLb
OB8yNWmIHe8Shtapf57UkJYwFGlQDSB7iJ6i8VD4tlwvhCuN7l60xRLVcgMes7q137UFK1R1RI3Q
G3wlrF/1LimAyrbn+N6fkAwB9rMtu5ZPu3qiDtYJMI0SsVs0NTCQLIeNKDywm4fzxqLa4JG9h1PQ
0bK95SErJ2OyRW4llwS25B5CPx64f4qe0F0DjZEUsikiXJ1Stb7p8cysq17f5w9QDADaUVhRvOZz
nCB7MTFXMHeWmAp4pJMT+Pbjc/gpeUBTDaQNaKFjIPbRdJvjd1y119LV05BM14iMTbyukBPmaoEK
4vousRS4zsGqqoG09viwX9f2neYFEo2gmEjo+aAK/k1OOHItWtCrVBhegxqt0vKIW6VVDZIH6WKy
n1mcK3+F+wpqbDnGVS/dHnzRLPxCmSKs61tVgURens3dCqe9b/tGpt0BlzMA1zOoW1A462qtMaA+
iGpFqPMEN/30ulz4AKJlX6Oqno+kY4PBh7KS3Qj0B6gebo4aQlcHbRC0oBX6BQeB5pQf6DmcOLAJ
0AdSCK9UstNEhUU/z6VoxtfKrgIPt3VkA+A8PfgRzps6DINmOJ2hAHO0eiGbdunYioedBn9L34RY
QhU2BxVnY6oYeTioDjgX3OC6OMt6h5aiDwY48LiJDvX9i1lS1fXwPIw4snmvkgEE1kwYBP51IRUW
rd5XoQT8ci4KtQB8aSffw2YHm2zZCNPEaPa5l4mI/AKvGmZSdl2shp3XILHMz2M3L6bZo8QMLM3w
DFmoyLuK4Ni1WV8gNWqoU1IQ7s6A4aspOUjIvphkvVcjTsuMQ74Zjc3ismyn3EGHyte1B43RAXy3
FfYXLOEUyAIBFACbAMFA5xs0+Z6Al9pHrYplVNeU6WnqPgCjN/F6raDexKGVZ9hIFdRIOOxGJGxT
kR/3gVPXAyUUgQkAF91g9E/w0fUQaxfTptcgMDfrO37v6wttJJgAqZoJRgQADzHhb49LOcFKSakY
h/6+H12ed7PQM1vZNWIJjMs6v+m4M3FbfPSRgpQuG47ht8fHxSfSFBQsQeZW24rVVuQ4xe1NpW0c
5nW9njCYPqwx9NA/AS1RX+EqBKiKuOeulVImeyjUxY6/6hvgbFCDraul9UBxWS2Hc1fFHi8Z8YCD
PoDEkM7z+AtojzfA+H18IlCRBjEbAddAMNnT+KQiakfNaAVtXukILBG6CTZDYIPw6b8BA9Sl2pG6
LYa39eRBs8ltucT6DvjfCFj3gYoU3azWLq90aGq7o7RL+nk3dHLb6Mf39kTaSAkBHgQN07C7qYB+
zZMz9T2q02hb/oovS4RAInS1WVFkdIFv3dfEoede1TtORtIuRwStjpBZDKEF8JLHJ/OTYUMpO00F
sMTtjzwVtzeYEBxo7ddWjBp8CY1sA1eUewlj+XSFBOftrNd3j4+Lf94FBg3j4FSSg2v9RPtVGct1
GBhEGtkn4dwO0ya/Whv7wuQk8E0+XJ0bp3TDnpUz1w+Yq4RaKZxJUL4AODCnywasOdYrTPtBkWu7
XiwjyARxE0LJtJSjfoHLag3rTsbWAXBgbjZcf3l8UfwnS6QpKJTb2eINL5y6q4JC7cqnerp+UGRV
55R4OeJ+Sau9lqvourMJxMzV7qwRvSnPtCU+dLlAzVaKK/3cw2rCQDBAwQl4S+PAjkGuer12TBZJ
DqqsoEmOggfqmlEWFTGHXkTUJJlsK27GcxmYMPTIQgLg9+1EMULJ/h4skJlvIq1m1VY5GEDU+foB
ZNj/Ua3Q4AvapPR1GfdyQV1DjyLRjC9ZYQWa7L4xFUnV87GfQnKzutCw8PHhONZl2hSpdVy2g/Pe
Ogr0hWFXwuKgAacZDtO9Lg0KWwvW/KAlN7GCFLgboUjkUuBOHeSUy4a6bX69EnyZj8Dz0nYNWWdS
6A08L1vUbR1ZJgIazuWEdTX8Ivr9lG2gHEuh2iMAb5GfbVPwqoTeGxOuJ0s3D10dKK8fm6rYGjRB
Ct72UOKmCOdeG/7L4Pvz8JtTYIWglRvyebpZ2Xc4D7CWrkHm764fpExGLIL8YsZUwPj6a4mLcUNh
Fk1Zw6H/YvnkpwlwiPpCQBs3A0Dxk29WgdU1XvvpVSnKjVXVDeA30EhpOdZjzudijWoH01mBm/Ug
OcABkpWBjewTBc1v/eGBmyVk3nTDEQIy/Fh0ySbj2/uawAOcX5wCWyo8H5DMgi2nsc4S/nXUB8tq
WbPVOIZyDC0/W+RkW+gUgQ6LWuwCXiR08QFHhaihs0bbqk1+ESF/ClQCtEBKQTDZyvT4FHrERhji
oXj76iFEAR1hcOQPxWoKdLX/aJYKYpiAFk6wlkVUNl7P7fBLAnAKSJmQ0GmdQslIkpSR04pbgWPD
y6WJb6BHNyl5BrEMxpjN2ECoVtCAcv54PMOnTQVMbghAcrZVyeD/OzhB/nPCRekK6KSqGPQL0xwj
qM7RDEMTSgKQ0VVqup2ZbIss+FD0UISGWNfE3CDQKIas6qBg8yvn/KnTAUqgsAUbHoTawM8py8cm
LM611ZtSlVskWaihkO4N1NAA/t4DNOjggcTVJSPsSRvRBpDWr3kG0hozV7xa5i3zgkYB2yhWDuwa
uqi207sPlO1/EXYeS24jW5h+IkTAmy0IksVyUslUd2uDUKl1YRJAJrx5+vmSQM9E38XclYKlKhJI
ZB7zm8PMqbf3oOztUl23gGfxpZ1T6OdTX9Wabt0L0JbamVPY+yvV6MFroavW29yva7ZEhVq5RP7U
Tyv0e+1D1MUqMNPguY3Q2K2nzAiUl/Qe7qk8Rmw90r82Y4EG8GGa2zvO0UW6nrXc2uLywtHQzeay
g3f//8f937UAhx5SGULeoiJAPPxf/eU44MiI4Am+Hp1l3QXDdJGFOaUXWtO1LGNPcbz/V0EEHvyv
Cs5zbMIcFbZlQrAT9vz/injmLCt2+2RfBi/fjDAOyqxxIX2iyGrhYQZanxaotIj87rTN0ZJmZ0Q5
OdLenQjxHXot+6EIOsv4sEaQBpDVLAT1OXidg7KcJL3PFNfBUHd5AvvHsT3l+Sa7ly4L5tU81UGe
uyX51dRMbDNXY4BeBrimeq1mXDVwbDRNa61VCBq2qjJHU5vupCYCUZSLDs3+qInOjwPYkpVqWuM0
N9FmTVcFJtQX9Cq9p16khXSivhqR3ds/YcgrKc+rVzvBu9hSj2QcuMbYi3M6bahtnlpkerl53VD/
pq+zCQWUJRvGAFXFjScKWV6rNWrSF0tnCNoDLzLmLhHppKL1de16WFXKpmJj/wBnbpl4WCcY+/Vm
9pyRJXHmtDDEWchBoz1e34eL8ce6gn/JU+90SAtiSUFifHNn0/Tg3WTUrdUFlR1F0bUIvYpgP6/h
sFGQbcNaZedi6nvjazgPxKm6HHXKSk0jCn6BF+XlNavSuQ3iXDQc4qRrh3kJ421nkgsfKJEP8Raj
pCI0VkrYZFr6oM1Og7PmWXOipM9L51aDu43dtwz8pXQezTai6X3bZFkWLXCfDMwevcqoxM8xX2bz
I2oNO7yNqrOs7CSWtBrRLNqhTnQH/Tzcg0QR5iMPpBPpuIrnKVQa/9th14OTj3ZC2+CREnmGNgWC
njapC6FBKI1kTSOJqqeumb2xjgGWuunvnQnMyobtmQf+TBL1V2D7LpkdOcHDlKFR/q9ym3bx32eM
TI7QwYVmA8fxkJv91+nmaDe+bynvNiE/dKa4UlEmy29WkAYQu3WTpw8B2jEPbwqm2irqFP29jXFm
ruDyk8VaCvEkB6JgosD3nud5UGC5o5V9q6oRyVjk1tmMJrTu+1O+uP6jyRqMHGYbJa14DJF7V1Kc
qmjoMQx0/F9+rW1hyE+lQHL2aChg2yuKd1UkuSymn2kv1vLieMVcn9FPdl9olwp5boE7q1O3hRSm
Svr2fPOVuVQX6aSRSto0C4ZTMSxB5iYWHgrrKYoa9WoElA6x6WXst7HO52QOM2/DwRKqBMBORo+Z
N/UherMmeKa5aKLzDGwScrPohqtmtF7GDknnCe7B/oFTqXisFq9HHD0G5WtXR2PSgX+8L/WSxWLo
fvp53r4bli1eK9dYrHgb3GLoYzsz03oCr85h1p9b0pUdarPAVkRY47q6N5/B4Iy/oylzrhB0dbKm
+XZWis0aeH34wL1aYDc02bGED/jmA77EfeSOIM3R9jxsqZvFURWs383K3S4Dfg15mqyq/zQVrfqc
Oqp7yUS2XcQ6eF+G0HCuaWTKsyyVpuI8r3mimGquppuvibWpSkNQwQuqvAzZfzh8M5Xn/bXaYf49
7YfubTVQbWfg57eq7wYRj23vJrKQFsDdvJ39pXRJfVu53LAvjE9YqJZP0u6t8zZ35VmUrg3uPqks
dgNr/VuFiLNbZEGfa9ccHkHZ89c5MLX2vivbc1V325O5VtFXYOPq0cpS73Nob6sbl8gRsAxV4ZM5
lu73yhu77xG8zBXdhnGavC598LpRkU0avz5ZRm24Mdo6F+m336ACnht5AneGwFgn42dmF/I5kqo4
+ZY9fLWEb+Ma6JzrHEj7xXYyI5m3afstulR+ZH4BhremRiIn0cVola0PCwrgIZCreHDwYXzabGN4
8bNeXS2otVs+lwPS9m19qlQRlqeik+5npDbhggi8bvgUKz0b4ANPSrlrXIZhF1ww96T/CcXyHvly
/LBIb9d6LaNY0BDG/eARDwthfnMJwGdjEeEnLwvwYG6FBF/vuYGs9r1vIX0nJfbsW2YiQ9n8HOvS
wzLWlvKZrVmcpkjhGfLs5tSCz3JksC89ZwBRP5fCNR5buwtPKf3jzSOcvOFvaGNyZvMOFrXFcpvK
n3kjiuo0283yufXm5pSq1KL4gcuI53lyhlM9V80HAbV2Ypt/ypjEI04oWGwHR47R/rkawXjxNlXe
xKhGYka+iTc4tuFtJtnEG0qg64gENA4Xp/nqz0Vrx2ktLSFORjHlY9bHi1qmS5XV/V9WMDSvOfzg
2ZjrKUjSKcC4k4k5OwNvvM8lhNYyyj9yCKkbksxfU++8+1W9IF4TuEPGQJy2yG4vwg+UcbOGVkTP
EcauB26sck7QNeqViiKPLhW90ZS0rU1Kzo0So2CYKsJr4yL6tPGJ/OwMYznNkYeU2FXGXwYqShwk
Ha63mKuq/vZxFj6UueE+yW1tf0S1NB5FOUwcLnd5yVxnfhyLvkQM73t1Qgfc/jWTO56s1fO/w7O0
b3Xamm7S5GK4+Ovsv9tWX3dJmhrdYzB4AXJTisDfRl7neI1GNYAD2Ihsz7nXFy/t4mBKctJeJUp4
QRNHQZTm4Z9uPYcnu+9W2C1W+BGlmp2Ych5u+eb3XyQsxHm0y7y4TF5kfskE0pK4CeuUG5LEElQA
XyjbjTfMX/K3dFbCT1Q4z+gh8Cuy8ObjjFb4HDpj/Q2g38PUs4U/U0dm30Vmtj3GEdTEMaugvlpR
6V3KxUJWWKRddc1kWPxwqf4fAmPNP9ze6W9uOgQgJ3N+Gv0Nq9KSNilHs5prvAxR+1jYRZMAxkMv
YKJKykIVf4cqb0/VEoZvnSUjpNNu9lCF23Kqpn44g9NmT/U2qae2WF+58F9l79e/2s1qQDiguaRw
iN2tM5y7cCv4K09Fj8IdotciWNzzWnjdxWnnrI69uVBJ6Rnes6uw1wTK/AEG5z4tYglOQeUM1zmy
UvQ9nN2k6JT2Edo54jVP9lgqh+hBuVP3zQerhHERong1MsM+kYTllwbj4oOPse5mEs2u87qmDy6f
XSbB5Bpf8nCaYKeayKguSymK5iqyMC9/G5Tg23vbpz5ExFaEdJRiszS2UGytBtp84dM4qY1CrTgV
SOSoIu0oK7LxU5sLJC9HB6raiYb4gCeOXqifm0E5X8aw1xyPIKCgjNlbtHAQOb1OXlsw/OcB+qqK
TkuVzVvxHlTs5SHBAjfzK96OfVNc6VYpuOPwG7jS2MSmGmuxxtYAB/m+FEPW/pF6UY2jZGfroq2Z
QoeyP2zLW9R4jfuLs6nxxsUY4LJPfY0sI1nHadpe0Ilk3UOXGoYCxc7UqmJOnd+8lvU44B/JIm/A
0IHQPT8bfed0iWE0moJLmzX8baIZSB/RXFr1k+0KSjwDge58aQNXNW/u3KblnwPeqEEBc/Sy+AIb
nVrWSSlR2eYTAO3i+VcwqawtcACXDWqdGQXoeh6m1AiBxlqB97GAPs0v6VySuGKadK8HXlugH6q9
2S2jqsmT0aLSSVCr8d/RnTFpt02tUUwLUg+/UcyIcYiH3Oy9v/8hq2wVipfZ81T2uJo+RywMpLqm
InXq6jS4YvN/UpAFuOLKeTSuOAVF8/mQldabpekJU2XN9r53yJHa2pAeJGcZg3yy+v/QNWnNv7nO
ul1YvFqDakIVEinIXhoXpqFx20MVVIvZTQmkOgq8HVTToaOKUqy8/jl1SH7dK7UUW3im0aKnt6pK
o+nOaG91edpCo1+zK0yA4jOLyaFdNzaoxlt1142IDJDpbccGmsrRauS1RVhQXtjnupuHYQIPqNux
4gWqYP0zGFetWjrUy3K2taguN2fNCpoVqeNt7yPU0mhlttZ5LP8gim3RgAjc6IIYmnAzd1g2yGu9
J3Et2KzifjXCCXl4zQ7997R0vPneng+Tpd+2y+q0qXTwCRfrlgeTNxm3yp2whxG8WRp5pfteO/tT
OsmOkUCRH3TlE31xOwExzzAV6nHL0JBPJ9sk+dfnESEl53QXXTdoDXukJfkS3lWqEs+6eAA01Jea
Av7xpNbUMtCzoTGQtoVkT1hopzFs6+WRbchuu7b5nI23rEBb8j72ruZnfDNkQcRuQhnsOgdWyWy6
g+EcFlC9v1EgZhJYOw0bL2D3+OX2jvQUWKWNMOGHN5p1uPJYInnvkefPGwDN1ZLdiLPuWKvWtZfF
PHeBMdnQZ6DtPLFdJz3Z9pa7vw0pcjfHhEtNZJ7Ldlh5MNGc3bdP02noqJF42vQTcfXO9fbHdHCA
mTuHMO81HnrcAFMe6QeaUrBU3nMpXJykcV3AXEmM5TVLUPqtxo/oLDRn6C+5tZTXekaFRO2Tim6l
GoQ+5lJc26tYY6sJV/567g0Uzjgl9NZrma7Rfqw70zluwRDIk8muzWoNTLXudyhDzS8PkDkmptaS
zuFlybwF53mb5vqexnXQt22VrqZ9/Haa6FEWN8pNFVfwL8v7An/Qf8jVxMjyJKOC8F/5tfY89HYQ
FFzFDO/cn1Jv0zhVVKzRShJgfsGPkrBgfjORoCiic5SX9WXEYDL9oGsrfjZaJjOfyi6yxBczr0Y0
M4vT0Tz3XVu67/mWldVz4aNOvHT0Y/7bHksGjJCsmbxnmCGrjeKn4U0bdzENJpCrMZnADPuha6dC
r/nYuppbmyq0U/apngq9onY1ECgO8lYM6NCpeu/NO04utmSjRi3hQCADAheD0PiAd2Hh2eKl49R6
P+YAYumXzCmlP4Q36Ea/s1Fle/8c2rskbUeB+tT0yHZ+W+UaI1CuPXypV5nWP5UNlTHGFTMGVjNe
XRRBxWmPRwdkWd6DExocfTmVAap+XesQM28aNK6iH7zjvyqaYSf2JcLLreo29tJwTdkLtI/Ln0HR
sLRWLzNWyt3FjdudTt4xyj1jiyjwWKlmcXW2t0OUmcXJAVDhh3NqagJybjKC2h6jjzS/BiUwayRW
53fvSZehGSZq/eUtol/n75sdp57cjGW110ArYisUHPaSZJ2svG97KENZU3ImDhS0wle/vfc7gKJp
VGP4NGNVZo/VA4Zt8lo7A9imuE7aj9FW+iCBe+lLtJZVn1Q1wUKNn1LMB1x+V0N2SBzTFAF5DPCj
9cX7NgE2078hW6VvftfSINnV6WebadeJXw0WZXkrJ7tekOzvgdg3jZVzsHmWJtAsDHAafZzSgouL
olU/rn2/DC7WkeJaFvNMSHRwj23v/rQixrwta4NT5pSJCGiXel6K0g/OlVevhJN2KfEB3Sa/0pEA
aFDXPFllEvtWFZncTUP2kS15ThZE+tr39Qbf+dp/9BhrqjnRKULbV17msLj7g+6HJ8hNvemPh+0j
79nepRYTy7jtMh1u/JmJAKTKuteipkAGusLTisjlDWPEXWsEGWigp9xQkFL8joR9PK06x7mbmMaO
CSNN74znHNNDVT0Cf4Ztd7V67FrN5ybylwVm26/Z/FdQfmGi/w1Ac6ZHUecTqpIJCQLyu9FFpxmF
sXCqwi8f8MhpMc3mgyhL+M9On3JMd3q3YpB3cnWqmkoNv/rKkkDZTsfkkCLxzGkN5ovFOBTWwoRC
ZmWcGp3fh5wiLTTHoqEZb9gch3/8ivLxzb+nHKPq7/n7DvJnNKBcXB1Qjnz0uzzgICBgLfUCLm2j
KwDlF6SrVEwej/Ng1ffkxc99Rsw4ILhUtwe5N8mtCfLYgKyV6gGQH9LpUaIA4tI2hhCg/RjMzcCe
XdeVWyWTQUuZzHOLiegVUTetaZI5+RKI5BD2Qtlpi2UUBpFhfy8HZjdEl2k/ycc23g804xoGJ33J
CmPZ8lOLfFm2P3prmduzxM0wrUmLY4e7OCodBv7o51/URuAMH0j279vrTrhkmZRsbRFNHqWJH/QF
a2W6nY66OcJYCrPFdyeOgvLBgd6KvQo321Qrro8FFF2pxZjeXOnMJMdOn9AyzVF1MIkAEt1L1K4W
6MNQs+adUSKEg7Husc77osvZLvldjDO60ZwGb13W6OCAIVYnqo5UyjvWGP95ZTeufo9i8hfe+CCG
jB59Qp4cmgh6fX0IFL5+No/jmrQub0K0be+8Soo+3J1Naej3tEjB/F0m660cmENUjUD0C6Ja3noy
0wyd71DTQ8lb469ZhwJ/oDqC1VlslMinTVS+AeLcbMw/SfYy+iDpmw4hXXibDMb+9Mk/zBduLp6E
tfujWooWLkzey+A9I07RpJO34YH/eMkQIuaRAPu1ZtdXzCwKrfnqCrv7KYSnxTBHuQsI0/EA4bby
8Sa7tWcjHXumU7YmemdEy/xwSDvkn9cwSuEYrgV8onjJJ6ehHKMq08dmsVPOQViZ+pAd64pEUJ+U
CAMHF7Kkgz695kw48eKoD/zRTJYOIW992nMbULoW0q2AkfM5cMytkUnpOyX6iWPPHJ0HatV7A9LD
Ft+OsF/stLm36zIRRptc1dEmrch9eitpqqKD/9g70kwi7yNTl/nAmu1J/jjTGBr3e6cnLi/tTsyt
VoB/Ip6wb03iIs2CJTsCtsEgItaKmy/QVR/2t1qVOftgLMEY1muwa5XC1dFR96D83BVfCrTintp2
irkZpE45R8gu99g+mvnIDxlfc68dylLyauefizx11XWcN2e2bupefYelu/EhhnKw/jzlhUXkO48t
cprysi/0vuUiKkPWaP+RPQld3wQsAQnArHXu/OdpMp+Klcq6Xj98013Am2Kk5KSArTd0NHVGynsq
qYZUvYLijQbzHTbGvYAwOkw8UnEGswWMD+RkZvGx1/fn4Ayhfuim15PluzDTlx7cSdWj5D4SeYSk
hY+KxKJz8fEK+EA/okNyQEOoE7TVe3mIZjh0Mw+pwn4o2l7p+/9HSpgzuwS79TLp7dosi65icqvT
4aNDdakrZrAWPu+wjhyXPKgFCKBrpM7CTt7l23ueIuvTSipIPkqoewmETFdv9T0P+DugAUZ5N6Vt
GwaAS++0eu3NdRGtdui72htAa6c3rbm3pFqhy3pnttSd2OHCnKxA4yjROitC7tZhWEaGAbyB1Gga
F/0w1t04KUGw+aBDtFiHgVa4HE3v5lW6Mzs0ueOo9PkcUcrznrpd09dyr2GOanGKZpSQiRb/SC8e
0hkBU3ycLXpVqnEcETr4D/eKbQdtMicEwTx5oINBFgekG54NzegdG9p3cm2wbWmS7vz9vNiaj9yL
3SN1Yy6nynS75d4N5RigKMN2Je6ulGxBNdgw/h0ase/SW2gCXeTtVVTvzoSleq/0M1dpZV25RwpR
jpMCG6W8SY1Ha/eh2XVP/zNmWPZ08N61co53R8v2vX6snZE7Cx+8wy3HidtrzaW4i9vXXbR6GFed
YYWLAPXX5VOa4gv9aERLyx8QyPTj3eEus1B3mGzPoYde2FRiaijwRG9sPcKEfBSvwViZ28xYniWy
qHp0OyPLTqsc9lIbTqFn83j7yjlbqNYLemqTMUoIPXQmDOZZl7GWXWmi+MDnPKe8n4vU0hrm+8WS
yFet/8owFb07UamD9yGBwM6l4/veCoR7lD+WGrnVHcIAxeKpB36vtTTBkub28hICJ/ruyd8t2JZN
Le8lYHYLOc7dO/HNNiV78QhASKJ1XbLjX3sDZCwIB14waVgeGPHozDI8kkjd20Ur4Lbu7e+/RNl2
Ud8PnQk3ZFKwDnqJeke4zByC36uitTkjN9TtwIFoHi09vZiu9Y9XevAwv3I8WbF7fjmmdIn7djgg
TPzIa9e9IydGvlt3+K3fDshFZeUQ2EiYF/OS+4ZeUli4u1TlvpF30RlOxIHFa/ZYBV5JFUud6CHs
c4y+v+4npVuY4vdSE77lG217vX6qWhSgYewuDrsM8aX2SCGjDzgUR3bcDQ2HkLrHA0owKFraFOvs
5/3WTY+WqqlVLki0uwlLh5H1bNIj7gUzE0WL6xLWOuu1rqnLns5XusJR9xot47wS/w48Rer5U5SV
3aSP6tEqOf6sywa5OxmOYBU0qTbodWmlm9Nmr9ykF2rVfF6D98ibjSSSVxjLnLAnkWJrU1SZ92kI
wm61lc/ywnxY0OOnAozpuNoeLwMNpr8Y2hEJs6xviEF0i9ld0QCH1pqA0Wn9XWUFDucSZRwvfN38
s3wcEr1J7+B4KFELfzibYXFXHGKtzZ/vwOGO5R2iWuY9cWKCEuifprR1dZnRmb4ujrXOWR/BuoHe
SYbZUPzTtoQyEnU/6yIZ143WAYGXbtyut3V6KxyFybQD7NteSR3CcCrH+3uaSIdAIfeypqkDHVMN
rO8BjNhQom06ObA2AAmbD8r0MHtDQOl49JIOtDCXstcH1r3FH0ertrNz3lruIL6CLuvCHG2W3gKh
icJSohODGAEMxQUfpqg88DkhB7iDFnll+C2/ONw1jS4yU+5775ml694RMoGNUsYMBtTB/VBaHYci
yGpIhghMl9PnYu5kYdCo6tqvZzQoz6dr8jXgZAqnBy8/AIg9ARxGnWjps/Fch0NX9PBO91L0gJzN
HTz20WjyCPO96guXoIHEwAihm4FmK3QfushaYwrz6GSueZJz06/Tu5EjG6WjDBvLWh43C/sHNZNf
V+P2onC9LN7rEGVRH2mslMFWVf576UxqqEsgGrv8MgjUNf41t/3JC7FUWdnICJ4A6RW1e7eN46lk
gFr7G/+NnBg7iOlRvNJqW1XiK2ZkjH/0OCjcMMEwl5egQdvmBGeVAg5dtylQfqLRKOulL4OmfZpa
RFH5NaroxD+v+TQ6t2ZtZPXesI3+4xnQuu+VP0bTxS/7DV6zrFcfOB7p1KOc2/FPU7WdfA0sJ62v
zKbcRlRUTs/gxauwQ2P1zv1mu1cwv3z8vHTsrUttp6t5VdKctyd7K6dEyNJGGSTtgLogI/wiN3Ej
ucaDF3ljYs4L+i+nz+fHjjleEqSG/s56brammROFuMu/DNB6YxzZ2yyfwqLazO7i9tEwgAGGGPiK
i1vNBi7QQhrji4F6uFqpY+01ZYtBAS5G7DXpLJizx2Q/J4CtNaQPe7h184oKKSz7CVcdwjJ3OUnm
e25lXDBzyafVJD74ickxcJI2dE3vOaXCtym0czEF0aPVFcXgx85kmcuWTHBW86dK+nX3U3oNqpZo
yr35ybKCUV5Wl+GdWCkr86Eoy/rE3uumT4pZEOrWgni6L1HVS+PJk9OofoUEZfVLmb5fgnEa7rD+
qDf0TuKMs3Zyp7gfMQeCDJth8OFXTMEwECr+kfMksvQfHFs5GSQRW0RTGx6JmxmoHM6tYFcHjvzh
MRyULd6NC3X4Ya7ZgcPAyjLjGWWM7X9GJMPKxB2jBqWDjl1QziAJpmco1tpzHzKol2aN69EERZV7
WDYQsXBU1Z4ojkJ5L/HteygqJLOB/ghB2mkO9hJJZqlG0so7wmrvFqxdvxnZERjw4iCIf4EJpITa
36Tc+Uuin67N93exrPvEE7xX0BEHl4EDcQ45YZyDdE2Wu63uSDg75LlTpKljt/fY7KA2OyGh1gd/
lEDZxSmoSwNDCdOuve/p1HZm+Glxt8YIz2KwKDeLItAt0sYQYPm7x00mGyg1XYj+355NF0eL1RLd
+lBK+W1QYdp8FIPw079nRhyNt8WczPptqAZX/menN/e7XQ/cqdezP2YjogMu1rkAYfYqc7Ahg/rq
HXeTWM8SdHEML/hFs8VJnDzViZqZrrqPKu5VScZN2mg4GK5SNM/eWKrwui4D0szUtLGMfmqtMavW
KwNrBlwzo0c70TNfw5p7SoqxEZ98Jnduf44UHszr8hFSTichBHjB2RkEE7F+2pVdWsZV9lWRyelL
0PP2QfuA1MeKpqcc9MqfjBMJP5eR6SRFkeG6PrVqYnjzUpueOo9d27UxoimbOZR0nPJVLVGL+Gmd
s5ISwAvFpaAsunjDnFfXaGCGIh0BSrkLo17sr8I0WvO1hyhMcI4tUEZV9ZcYCu99CJV4kHY4/iL5
DCoJNnM9p5GXDgnKQz60CvLhCRARZWw3qfn3VIDBPdDXyS85KOZrjUz6MSyn6TzOEQdxAF92/1aM
32iSHmd1d82navnVuUjK4nCz5+I096P6aDNld88rGqAkAEz52nlh9zSbpfuMYcVp4m3GXXWxvbp9
9RkT+LHivP5EdKt4yqWbA8rVzvdcdcZDkBLnPVeu04NdWXOHb8FxzB94vohqlZLDH5Qh2SPDWaeq
i1M5OkGSofW82aDff4NBL49OljEX2O4ik1GNec7iCdXbH1AQwnuxafMatMxzaZ1yCO027roChNzy
J/+aBVR6cQGt5d88b2NoNgByViIGs/uPralRIGW275gxXxgBF0/rMp9Wu3BjuzTbFyTWsMVNUNki
KWmQ4O1aeQvqwklKy5mfyzSz/gxNGfwYZ6v4VeRifET56HyaF4tdFvnpJVI28zbbyn20516EpwHc
foltM+0emWIu/yK3kRmmrRd/GZbbXPKMc0er932s/fzPlH6IcSpz+bkxo/oy2EN09TxzuTjOYv6w
azt/TwvPP3mRKC6zsaVf8hLtTjDbTGUGdV5ORuO3r43rEFILI58SFHZ1e3XqoPh7kYb1tQ/7fDmL
yex+oX1lGBrKRgBANzcmFSuREVlSZS2ntpvTGI/WClNtCPUaDkvXn83RrutkihoHoalZTNfAD+af
ZUQvljCN3zzZbjohDFncpzL1jBePHP+0ZSO6wXz1vlpNWzFZOGXyUb1EN49Bw2gih3lOb2g3x+xM
XJJfw3HNnmWLXeOsqODe5qyY/7bVkEFATyGMvFOqvku4Eeero237n80F+xJMdBmaJ5Ut6QsfW8V9
lm5MPR7qX4z1X71vjG1mZA1/cQk1P/Cfgpz5k1lzTfpgGpM/fo8YWu55zCBfgiBnCrK5Rf43L+QJ
LYL5VxMi+mvl5gh6mfQAgcpsZ2PM7REUQ6aWc95WoGAc5UO9fNpEJoYXe0aGf0Oeo6wbOJqwPtZ1
iJbyFEZz6L1nE4qOMQ4sThuxhRmgAZUd81/qT6ZpM3IeUWPdmEudiNXwo82J+dC6Lz8VYhMoiQZN
dG3FI3Jl8nvVrTMD6dMxeFnM0oSJljjvnuc1g9ptJoakXO212D7LoWPsvCm8/nNRRq6sTgwJy5n8
tzRI0uLShGB/WPGqyZOq4IoSPBHDeiXutuaNbVA5n8ux8rb/aXv+t05YD11yPdR/eE2QmSA4+bf7
yFZrgRZaLp9Xw4wW9RtirW+rd0YV1YIvFvi/323xebdo/usrI5x/G0z4Hh7fttmcDq4WGwvAf9tM
3WWzQ4nB7XMu4X7aWDCHhLCQe0oRKb3cnRb5UNsMnTX4PxPBRpYpizHoqTfqf1SVMvw9OYg+x+wW
JP/3CVqT5az69+4vvJTRit4Juo4pknguXN//4dujw89KPD/0RQwH0azNOLjo3Z5crKFIyYeZ824n
I4QFv4lRbeMyQtAN46vFttaYUzmO0ztRqNyW81SiWETdaLidk8bFfqEGCC03Fiy2/uM0M4PqNa8w
0tu3eu483l5tm6lvj7ZiMdG9OcwZTo4xXA1jhrr04nVZFFXfm30hZrL4sv7B2Q0D92Rbw2g6n5ij
NhXrY40ozR8v7G7PbZ/8pWeE2FvG8BFuoHGhLNyz34mcNSv6WjfaeUTqbhjjPqFZe1jNUndbE25a
v37wlp6R+GcPsobJKXzBg1kV6OAAR+0kt9N2FM9ZO7c8sA2bLV/nkWPK29LPlesXVnmRk1ul2wnm
Sc9RyauZER1vKfWJ/yOtQn0phdN4TFMSDC3AbXE8Aw5Vr99SuVQ0Xw5IKTKFz4iSRsx9rs5g1pvj
vCKuD9VyYu403dTNEdZGaWh0mb6+jZkZTMW0IiR/6U03wTxyY9G3zBCNmbaoNxk54iR5LzRAG+IG
5M6lJxm1tm8hA98iD8ZurGg0zulAcV4nklFVXX5W0m1ZRAaZ9+xQvi7LqY0HkULqNMkxToiezjLT
x8I0nWB5YKwe85WSbDSCPnsxJ5v5dXGXZoher2ItpjF4VWa7LPk3CNMa/sT2hcenK4amsBoqGCES
b8z0YmfeCgUlh04/pOcw48lZI/c0FGqwnvt9QBrz9zAwvixD2XoPRhkt2Tmz3d4vPpWo9bjGsfAU
f/o/zvPdEPb/rNic5wADEafacfEa+AzL+Xfw4NMZGrlU8vOEL8/tYMhtx3Bg4NHdN3HbyAUjpzP4
QN2nfWYfWILGcMN9jOeaj3yDB5NDpK3HD9p8Y0zL8GqGGIbZn3PK1gFVcHwjwpu9zy8REDj+tUUT
XqcnFCVN/3+YO7PdOo4sXb+K4fv0yXk46Cqg90RSHERREuX2TYJSyTnPcz79+SIjVE1uucmqvjqA
YYES984pMmLF+qfqgN5YK70diwSF0RWW6zp3d8QeCsQKR0dxPGWTCjsG6HB2QpqGMAGEx+oqjV0d
voLfi9EEuPbOANo3mmNsw98tdrWJZfVFNGkZnlq0ZCk4IWDXFlIaP1zEPqrQRmGuQoiacJlRPm9N
SkxFiP9zC8Mf5xXw7dA74mU21f11bhhWQSqA/OBi5o0Gz7pnxBYUMqO3NAeENTZ/UEn2fsEuwpvK
LwrhiKx6LOrTbDnFiEpHY9TjtygFl7EJ2x9qxGYYpPwZkbsID0baR2H7fq0zPE2hKmc1PoZlGjS0
QOG9bGY4VRcnVXFNnTpX8X5xFyHlVIrObo1CLen3WjGIZghzZ1FF710XdRWjsw7GHisfpeZU3oGp
09lrcw8S5RjNJcIZ4WVkNovoRSI5ttrw4Iz4S8CZwFqGjysLxNDcpKRNCVHIuFM+T0rVZdaIF4HL
gJExsGc7g4crdVHjpv/VGWLfeTQ7hy3XVZkhJ4RhG232MgFDDo/2mn5dOLx7/U14qaDFsUG3cITm
OJjbeYZpCcHbMwlvK3SaWRSsdxGaLhqK9abql6xABQoo1wpFxXj98C81qxzepMHDcKXpEjh08M5e
wxHUtypsf75T6LaiQSnpqsTeo6QQPTpUQeKlUg3Bf0Xqb4qjPZ8UeCExgXMMy7YQxVvnukKMUTwB
A6Y8NntYYAD1DFIqxYTZQNf2Q9FZ6XQc66riXQkmoRWLE6Be/LIkh0GNVgyZQi+9jyknCndH+osA
9QIwE9472RBAwyc0YwPATfI0VH5UjA9ZVoolTRlxJSzAbnGMmLipqV+/69iRnF0pixEOJcznmJth
HnOulyU+hs4a3prvy6jCYexIOeKX1YlShGEvUjhEJ4UWhFhpYMq4iArlFB5UcY3L/NKxghVXpt9k
TgrhYBgGYi4crTyFrpPyWV6XGYNra4xLTP4FzKi69BKTGXJ4DM5BsaUk49SzMQfFKzMoxFEVl8EI
U9H/ZRsI9LHvNIS8y5GWkrhTZGqIL3GHGp+AXdbFBvCC2dMpKewiE519Fg86BaWEDlOsB7CTw3DY
4B2GHCQQzmZKBeSoTbpgbSjCJZQdukKpzhT/nunRdLpdiVXBcmNCUaHX7GtaywKej/lmfztH1gI1
m41EMuxAZFE5nxTbS4LC+hTjt/DBgpaUfUTXCTlKKnHngo4/yIUwrxRDO7NIEBpgylbFMZC25Vm/
0f6WQesmii4eQ30tpcOqHYXsUAACfkGES/VunFjvqgOYBz2mSsv8eJp3+oqlxHAdrYWgVXRpIPgk
kidv6/XGosph1EKPkCC/Yhy2DZhMdtkZeQRVVPFB+9kUEK+E2dPKzoPLMgBBXt6lEn1WJ+w1hiCh
9K0vLLq7hRyvFs5dJhCr3OxCzxbBMnkr4KFqCe09yUGDZu6qlN388N7RS3y8L3xaCjmxD01sg6ZN
mS2AFFQKEee1yJs3lDQ3vA9Zks3RsIeTsSTayUxolmB2VJHzU131cJx5A9OIHkf0IRmnOmqvTDgI
8VWMazmFXU2zmgMoco2u2SmfZsVvqAeXAATg61jzLrPFSfRIAxNTaJGqYnxrLIHsFi8sOTGjYm00
L9XNNDV8cdqjPxj12p+Y0n0m+HbVRAmoPm7qQweuafGPdrJHIRBV70OvxfYvkPREy3MFwKIAq34W
Nj/7uYdL9bAkxUxXV1IRFPzEIskQUz8o5AfHAfHUe3uGzqRo6crLKjM0SOuXhumv/Qzf1qih7ENB
9PWPNX4mGTW0Y7a4hYeuKdwNK43dtnXtRAbI3l7xotXLqCfkNHm7uokMrT4oTm4kHxhArBhkElcJ
aqy5QOSGnB7BsuvkWBtgyV5NS9oVhCdBAhmjhX16tFUjqkrIJfIue4ljrjMhnfDaSZxm3yGyDT8i
hjQm/V1jlvT/jyBTE9FQ6oqdqa3LHhXVjDPyXVWVAjhEj5/1dFxdony+5ts0MvFaMh+w9tcz4rBk
9cCr4SBH5AYihaNqmS+8OMLlf5foBZlXtanZTX3IK52Mj7ueTShjsme/zjSU+m4D32mSHh3aAoWA
19thLOKMIFFj2bLV+xUBX7xXdlnjqG9UJyw4KCUUK4CFS6BkBhMKTl9l0IiZepkGge4p3lvWDoJp
SqqImNoopwQfXt29tdc6LjmqG324WuvOv8el0YkQB0g1gmRZT1udWYS1+CQEmcGgwASDMfVjZeQQ
iPDuDke4gYXWJiWqTjLw0vojStaVD2TUGQDR2TBE3vAOIF8QN4RBC+cdArTwRmZhK+gfyh9KQd1W
mRuCrufOwZONPj27tc0MUuiud5cmGndp16EB/mDM8eiO6V69ZpM2hYJumEztiqptN6dtYuT3NKVi
XAFgwWzv8uhDyixukyoTI9hyO8FaTaRUAGttHUPs1mTrpv+wZfZW/PXMjJ50LJit9RgIalSV6qxE
RBnhOBAFJCglkKgaZ4BjieBR8Hoy9BhMBRFXyxQi8Yc2Qa6QXbvU4XBlwgAmqvehMWpYz5DdA/Fv
qhy3JdVGo/s9kus3mmnuPy6e56Nfk5QKdT6KDiMJI3Oo2bX1oJ4XES4CQDBQl7Ivpg2giQk7xhRO
RCqkWNn3J/A2EZ+njGRBLhsxTUp32bGOxQCdSqA+66EKUFc6gOsYW3+PBBX0a5gI/zDYc5Cs5809
JJbMb1ieYo7pJAuT6Xm7yUz9wMx+SvN8IiYNoCq9rGf2ufpx9FxUFHungwU0XbhSr1BLRjyhUNAF
cvoBCAiCtfKFzmwTf6kLVCxBS1K96NQLuFuSedQUIwlXivKhlstQUt0cM7C5+2rGLoZJEGT0za4Q
iY8oQBopfIDvqAvs38V8urwfJQF8lGgqgJnYsOQSkFDymUEukIpqgPBZ1C+KqJS0KO9xT8IdgSek
OgZNVovGjlOOgjMQOf3Gs3Fhk/Gaw4vnqpQgDXxJQLqZnAHXzb6l3di+iquz2oiaGXWet+De3gxA
P/7J1HyB3DtSBaSq+dSMBM2fziv0YXPajCELySJTypIcwwaWfc/NBclZiWQkAzuZwy50rjpmTX1+
Z+IAiqelum41iNTN+EFigQMsHo6kISuAWl2+moQDj9fQ2vUUYm56iCaslChjDAzNvX1sYjJ7ZY6w
H8PTJIu/cnBWFu7FMdOiup77WvPyG6dFhAW46jTh9B1DHCbLA6F3PTWtCX/E/cPmL6llZQ+tGUPL
6o5ZC9rjkSTmiO5WROXPp+g1i1aa7xuif8G48PlYOIhHY0Y+jaHO8gHYdmvRwkXYjb43cRBGdUuz
wq7Csg9uUfumon8Fl45vbJ1c/BHYCQa32NDY4fxkjYAAf0zYTnNhijxHb5dTxCyM0+0tMhJzeMNU
mubOTc2s/ozwQvTprNYXfbpuncXIlW0jCoiOH1SjKJJtwLqtxUtJbKboTYI+C4b+6/uJ890EbA/s
ULD8YdPEbm7bbTzbRMZ52yKgqKy7KWGZISsv9+YUBGrDRm057jpzWqsEJ94xtdJrOe5eP4uf9pKY
LpIrbLr0v3gq594snh5rrq115q2/6ZfUq5PFjAZoo9u+Np1HUYEoEmEhNRKxrIxeP5kzoxjTwDIP
5x/4LgZZHXjCvNxXp2HVN50TjrexMwu51jxSZTHDbCRRpdiAE4Dm/+L1A//0LBxQdMOiyqctbtDj
enlgs/dJMgns4ZbcU7HgEtBo49StDNUGu8FdUNUCYzIE6MoiWbe/fhrn109jQczunsFNYCN97h0I
3jV2EfL5W0IqZNcyFux7WtiC28a2X8g01F7+9SMbL5OPMEIT9oq6aWOMBirgne9tEVRFWD+H2k0s
NSG5F7LvOfppU7eISDf9lCInzVKtM/iNmI8VR8aG7Rl+MmpoDW9ZQp0PUdPwuBcOjYrAsCznvN3h
QjDBUC3Ub34o9CTXu9+0gnKISqnDD/aeVMs4UgXzxn0673aYGLcFNpkBBtZpAef0cqS0LvJ6xwbF
BTeyVyycJWELPtuoPyxR39gDwtze05/yzBXtaMNqS+OpGTDIj/ZBQ14CbeiIDOT00hmJmTXf8Ms8
M4IhTcO2HMuzoC95Bqb8Z2ZLjdsshoNU/9IysN79qhiAPRSGtwyLzyKCHLpf0C1MwnVcuM6gEWf3
Qg918g6a1b6ZCt9f4y+W0/Z1doW/iI0rECsHU6dHwljxu8mzoPszj2lAOdVHMwyGu9nDd2A6lrRx
PIL7ms1xacqRfZFaJlzC/qAqROyv1EBceaj1p9ef5/mLj7+H7fima+LD4tg/mYsyP4+44AferaJ1
qu14jesJE74UW/ibNpDkJ/icxlo4PNTXT8J5acfKjTTJgIWlw8SHm+tPdqysoaPofS+3KbI5FrWx
6Sq/vQ3GIA8fo3nWRKK0tkDk+rCykjCCMpkYlkgXpQz3Mvuu95yFxGkk2TrckbCPsqdYM4gIsXZu
Z4zYRPoDtW1yYS8A2GxKImGhNRlmRC+ORjC4F5RYseypsrcp6OMRdqN7wsld9ZaraB5hq7Hyw6z/
GrhOQM+1pQclPif7egyJiq8cJuKPYCH6iKQyigLchSooVI0JHSDTheEDb4/vU76pqdVFLKl9jPzA
SfBsskavHY905K3OL6H6pTFN6DFboOZf6GOj1RFXEA9DcZFJaVbkd6KEz804jvWj51AE1gcdHUDf
v2ubGKfdI+2DWH98/ekZP40h8jeYoXQHthpqvvNViwTU2IaXn9yqnnotL5+aiZ3kOxqSKIsIV5ry
AMxTMrMd6W+umpeNzHmCmS4adPqaCTv8FTiYnyQ5SV12AYhXfdZnXIYmiKO+G74F2Z4jti5wLRZx
LgiPgcHpudmuRY4b7XK9vWEXVTvlN7R3MbHGkoWsgo3UmwrzabNI27RycoGIR9gx+ltvx1nX1cOh
0iVnxA1cw6PVfDahjdDEWw9Q78ZbNUB1uqhhYUUHbd70nv+rOsTTYTg7Fri1J/LDNkO7Z6UZ6AwE
qNQpbhR0qcrGRhaFBNslVKjMtFi7vdFkPkcWmAIQ+Qc+czNN/p+KwmxshGHjVN8kceox0RTs+Nw/
fhw/9zCIvveCTmB8oYHf3Vv5HT8d36JhBRdPtPNtFpKzKb3Ml7hffCO+Vl79ExOC2Mi9iBEpDEfo
JBopin79bfrpBHjMkIJdPHbZaDA9v1xfXXqWLhl73TscdLfZw952dmqZjWDDinnZoV2QXDhwe70v
rx9fXOBzNMOHiUkFJPxA2cz+tCBk80SyNQ7S1ymTy/rJ9wdcw+LODekscNKt1p1ck/SqNwa5eV5/
UXMyjwY4kFKDMubOrjtzrNFai6q9JuoiboY7z66r5TEo2nS9UrB9mRmV9aU3WoGfgwuJPZZa3pPQ
TEXTtUkHdkudh0Hvuie7gT7TqTULMTcrXgBIipjhQUELxhAKJCE2Gi2WFjhkkIGrz+C3gnvx+m09
r+GwxWZg2ywG9AjEWvfysYbwnWbcI9LrPhixGtlB6k4yb0dOXZs1WFJko4OeS4aROAu9+a8DqS4j
1g5Q5Ab3jYfsnD9k7jWP2RdnBYh2vumZcgjaMM/Sa0lHTTZRm6whZe/p9Yv/+XDMXEBGkO88neX5
7NkSoe6Alq7Ou0j4en79oUXOR0rlXhLa3zjgT6UZiy7bKCYxsiR1wmPPDtl14SxcNJp3SswkvQbm
CHkqBh2TAHhEsNuYX8cLlEgDRr2L+dKdOUD4zE+kdoV6e42jRkb/TrXIVMKHE+lCTiPVo/MmXpbi
I2wPIO8SZUjUyL2zDn2OXpdvBT1xhKMFUS3hInCTWkp0WeU9hrBynYhDAANSQTaCq5SSKamZM4xC
MeAlhYDs+zhqacz4gyT8lpNoO6U4BdMPrEJ8vT4kcmuG0Aq/oG4sRK5IMSJ4evSMRJR1P6qVdkxW
HQ5qA65EtDmw+FUi0Z6x1IS6b/VKsQ0j0UJodVrCWjiIEtNUUenQCxvrQVwS7w9HlvehS13RpIad
Kdo3yj8DrrMQXCnKsdy75GKz+XXBuK07+a1mR/1uarV2cS+6giSO4CptVhLQZEdA1yfcXBDGTog+
T05E5tu9vFlqW6Sm4xTncPaMqlujOtQVRmrro0KraaZtcv+t0SAbknR0RHNy857WS0df0ouQuJrF
2EurXLXn9M1A3EyvGYXgRgFw+EKI0Mlk62zKOyA/pEpqu7QT+0OOKnTE54S2GkHiondW/0l16ac7
XD/S+UkSpWET5Em/i7jdBIoUuICmNOSSbbiSZM4N1KQqFSZCW55qXqvAfVeY9RRc49TYDZ9SQgvJ
pqGp7azBQZYlgbBuLk84M3YFIBx5dZGFP4lt053CP7F4gmKVePueLr/bHEe9FqovZWYjfVRQlWkR
JvoYMo8718Bu1DpWeUYUx46/om3WZ6nuXCgleknzIoAaaRDR8fsqW+lIv3vrfZS5U74cVOdXUQWQ
UItup+p9hgN2xF9xAUBkvyOZI7PvWh3HHrT765Ctn6XkyGqQIX0vEPWR3xina+w8Sik2gO4wfKNt
YtiPILHj8J681qI2TxheacujZ6+oRt9jbiTkyQ7Ca6C3zJnWDhvjdDW6/NBJ8FG1pYm7E3ppXHGF
XF/ZTHg0SRms7Mpdg51bnVZACB5g13pSCDSzoSDyrwWevuMHz896DcBDtnWVKLKVs4Aq4ILFtZMv
sNON9IMc1oM788pm24s74mHVYIc7+mZXHVG/i2EoEfJQo8l+WWsmpgr7UXKIZFMgI6WIgSmVg6lp
po6OBzNBi+uhxpKAxrTyYlLmWG6KaWB7RIfrDPQNc4QU8EzbcLzzMiuaoJQpH+dyjlls1ZXKIeYv
LqovpSySEjxlICVf9cwPfO0LPpWjdQzk1KUAJ6W9ki9Ov1nT6ltHXd2mH0rkFDNddMlSMixb9fQX
hVuSlDxKXxUlpLJxDWfuIV810h/nnuoC4SPMRl4gVB1N/7EuTNi3leWMBX1j2VmXsIjrz2I0Ii1H
GHmhjHbWmXwFIHHuTBAdJHSjxJq2bK8r86yArjnToSAkNl9V8qwSurUwqpjgMZ1FESFda/TYEJ39
xoid+NZJKndFcycnyqQMfSbRYq4cxl1WxXoGvzbQyILcBZoNNaKRtg+T/L7N5KS1lsX/TGg1T3cX
oqJHtkyGlwHfW20x5aP5Mba3Wa/jLjDJK+WfnCnNrXdi+K0gPrHIilVAecpJzPiH7nHTyir1aoQD
7vo4Dq74bbVKKIBXepGo6UG2M5VDgJK3KYFiC3eGcVni1JfnEbZxSbI+Bo2GYzb0OjbAw77UWuH7
YkjhvhTBYIxnU6UTvSe2X7HcB//IXNrEMv8cbGgV48O0QI3HghzhPr9vyU2/woJKWv6cv9RRqwek
S+msiR31mjykqL8gqKhlzvZ6aprJXwUOo/omWbV5THfSnmmR4iNUeqAOtxZlBgiJ0s/2cl6pUU2x
aA0C9tSOsB8dvQJa7wXARp0OivR7LfXLKBoXUSbInwxp7zHLo8vaDRKL2DgoAlRGUiHjKGNCFYvx
UDL4yKISLBZPpnKw4yyM21TzF/2mQXIFvlOjy/mjJVUl/hKBaGL5TYtB+56n6MFk9FcuRaoKCash
vLEgqua5NAOQbjplilspgd3myIi1ZOxKACykEf9CAA8twTAKysw6aS5swwqJwKYH7uzNWMiuJwGV
0Z22c39PBEcYlQeXVuPQHQddJx322EvDejlsA2sLxlOVgFruSfBlBrhKGnOAc0hw+VoG+6hBBBDv
kUZb2nrKkQQwEKSOUk3IqnBUA10qjoxsEbWFAgUxOELbrHaIytlI0TcCjZQ9PM6kI5uqcQdZVCli
kWlaguOCq4kQEJM1JGYd6Y/llKZDoUWovJhnofoPDJi1c+P5Yw/o2eOaKcM6WkmHDU12c9UuNbCk
I69xU7wpwoPy8LbVN1If8o04o4kubCEV1oqQJC2v0AwKqZfOUsBZdQCjvAtyPZIKNG1zIYvl7CSL
p1aWh8q7SMGNkQR3pTujhBvV8JTSUmmZ4MqCVDZ5OlnZwnB2iXMfYwS48DqhwXAnmeTpGV2l2Nrw
oieaL2Jq5WhWrgWpfOdSQaUWFmGjBYu07SAseVd+XzZVgiwqdO2vhXzY1eZg1KfE9BGtF0Ns+2C5
usCXrTGKuvFTGI2lU5FFIBLoct8THCS2AALlljQSLd20yo7EQenQFDnsNRw2TJzebKrpvQJ+l87B
CPaUhOS+oLmU/oAg6aKoTiVTy6C84Pk3HQ4V1b0+JZYB1Uk667nSxUveJPWOQdBf2+Hg+8mau1eq
WaFFU58Z+wjlW+zumnTcms2skhlCvJHJCBmSDnoINCyZdFbuCAIbx8G8YectUY6fnzrpHzr/WRNj
0WBJZuSom6yih1ihq8beC45TPN91kreCaz22P0c2IXNVH2wEzl36X69v7857FIFveiQygI85PgGr
50261XHnKonK/F2R19DAlUGrcqVZJGamvGb+rQNbkB4Rj4DRgXEAk5234vLM6hu/WuN3aR43/teF
nYKHnKAmEpRoxEabi/JY4rLANP/6gbe2z7O2DO1xNrS+DUIHvkKIxFlUiab5Vsu3x5fltNS+fUVT
snejdwGhp5DFwdUHz79AiNwakDfWIe7ycm8ni0W8qsua2po32ea21+uFj3wR04Jhqu9fP8lzJiz0
VxypDLYPeJ/oP2fwLlAsPK8erQvFUJMcuFnll7epaJfq/lzn2glBVR17Ka51vud/nPuxruuLKp9h
0O1MLA+0j22VaFW0h6kFq3lXMAys4mjL4PgmLvIceVSSayV8WKfF1ngXU6la8bHAsJqmvXxbnK2j
vl3m//k2/9/oe6V0Pd3f/4Ofv1U1fi9R3J/9+PdPVcF//yE+88/fefmJv98m39qqw3H01d+6+F7d
PRXfu/NfevHNHF2d3eGpf3rxw7EUwfYfhu/t8vAdHUa/nQXXIX7zX/3HX75v3/Jpqb//7ddvZDH3
4tuipCp/Vf909Y+//WqaNLX+qX8S36/+UVzA3379NLRZ98tT+Y9f9k/Jt6r75arL+an76Su+P3X9
337VPOM3IFfX1hnbPsnbIkINW/Dtn8zfsGETPAvwNTTG4m0oq7aPOQnjNwyAbDMAH0FB6Tt8qqtI
Jtn+ySTLCGayCYJEBLX164+b8eKh/vdDfi7eOgM1wDI8B5UHoJ7vun5giX7lsxb4oi1aGPdrdDKn
rH9cClIHjKmqsM6z2cj1yZ9jm9aPllG9gUCc9crkcQNKK5uWPzQ1ru/5cVH3lVOt6dGJO2cexs5q
qTfnBgZpOYy7Zw9IXfPzazyHSsU1IgpzoUCIm+2cNSW5lVhCEx9H4RwBUBVJdMJIfz28fhRxxs+m
ru2KmL1oJrvigfpnU1fXkaDkGhzF9b3i2HfFdPIQ5152qVO+I6+6uNGq8IiHQttNxdXrxz7rpotj
g+qDR2ORxNzjnT1FZxqi1c859uw41tGL7ZtWW28rfUhOJoS/Y1uTHvH6If/iAaL084DkgY9E9/Hl
A7SckAJNz6PTFDYU3KVucXvTde80Tvz+9UP9xZ0FeSbGDKSKToMvrv7ZGA0CpNCTpmkYddfJvRnO
+gEv8OQqdLzsGkvoP5xMv/bXMSd23A3euM6zXEpnu7diReQqbeBj23p5dFdDWaZpjgbLEReiuPbW
Cyxx8SEfY/+ymIiBtczV2/mk15wQEBKG0I8aDHoaF2v2O8IOPqQnzhv35K9uvwV2x5m5NnXvWeMX
O5K4qypLO9LdCk5us+bomA2c2JKhOb1++//qDsAUAbx2bJtJ7FzeCYF+SnIMhk9jFFTX1Rg6X2no
53+UY+N8pkc4HgJ32td6Wl6hJdSaAt3uEKbHpJnJBx/79UNmhMb6xlttnpVH4sFARzDw+9EFghWc
D3oSBDEZsZm6ZmsgsTT3it2sLz7bBqRE+In6uf8phyl5Z+FFFdGOXmLChsLlLqgIYJjMSftC84lP
LYaIXgOQIqm7rJsbVMinBfuQ8NDj/EijzL5JIu1rkc0WOVNwfXfanOSX9Gidj+HcB8Ybl3be1ufS
SGv1PIAmof9h3L8cc5lXxXQfeboEp2cn3JEHMoPTotuhQp51LFZi/c+ZMnsHx3om8snuQwSUy2ju
hhnsgYzveLktKGn7fU1u1JeioPV9ECBvDFFlqY6vjxDr5zeUxUv3gDxEtB0g+cvzJe3TWSr0d2R9
htWhb9OhwXIX7nMB6fA6jSvjAXcAo2LyLYfbNbX9+9QcyPCid0PD0GjCgpQsq7c4f7OPdlC/+r0N
fgPnkV50s59p++k7LP8+1tU63SeNHn9AdhkmO62avWvMA5z7ZA7yhyR39lFenqJE9yFUowTGtLwz
31HpOg+YUfvz3ujmhRgyDPSntVw/ZyB1n1Mcir/1dj+cjKFN35hCfl5/SEPTWai9QBjH2GfvqjWi
hYssO8TiPhk/5zWuOaXfOG+sP399FB8wCHdEuBNnz6AmiSvUAj08BhAkDpO5fMfv3H/jUn4uF7gU
YPONwhcwOb580GgbcGSESH40Jrc/OOnq/d5SsO4itim4r+IEONQTrqRt+RZi/hdHRjtJMQAjizXA
F7PBs0Ug7fpgScwuOI642NELX7J9PGXrjkQ0fC28z7R040d0Wt4bV2z+PNOKOYbhTQUB4Wpj1D07
cBu7eD+gpz5ahNaA0sx++GiNbfdkdjjD74LW0Q4FkvRTlkwF1gaLvl5Wc1E7JHmYNRE2uP7cxJm+
/CPtwptmKrqDGTJr7LIybz8B6GqYJHvWJ6TOBHe7mO08aFlZfHNzzX5v1UF6Pw9ZePH6G/vzCysn
TmxWDUsMzpd3k1zwZqlrPTjGQCsngex8rJ3mAdIyE7w34+oQ2HdweHGUIoTof3VLBdUPNo3l4fzz
8uj4wNoaSWnBscrq4aKnibAPNTwQS632LtKsGd/nWgF+uEzhQUsrVljDyU5rrlv3wnTq2JT+Y+bh
+UTs7HqwodUQu+OVl8i5XSz+pmZftBOSfL3+Hlm0iAdcmvKkDu8wENHemqvFMvOy7oMlaDNXW5BK
IeJZLy8G2pYxQojxjk1keg8r08kOVW5yHRe90SM+aUlYgYtzlZANc6DtEVwhC6juw7aLHl9/qOfk
TpaNgG6aYcIqDHhA3tmpzFB3rSSreEfarGVBHtqncVijnWsN3ZW/Gtp7L14BR+yIhPiuHXfZ4t1A
XOwf3jgRMaOd3xNKYHgAtBFo4p4NL7brZY7EnxNpWqylzCu8lPQrEPrkhgoNZyrbBZC1ohsSSO1L
q+6CCyOt8kMNDfuNwfYXIx0GOTOVC/MX0svZtAjxMsTKweTxAAB8jgi5uaXRNF13+KcccjvyLrzI
eArYfV6j6W+uX78TfzEpWzwRCM/s4Wz3fHtVNQQYpfRpj3MQhrc082CIFbZizv5bW/V/bR/+fvwO
eNB+/+X2qe5+OQ3lP5569r//P23L2aOXbNRf7KdpBvHa/c+b8juxa/7lP4vvbfLt6S8+qfbihvEb
Om6LHQvsFBMCEoNB7cVhf/3mQ8qhimGnLhYBtRP3rd9gjCNGtth/eB50qX/uxL3fqHVMO4BSj9Eo
VZr37+zEzxYaqOCihmLt5hw4Q8s/K/pyAz2EQZ7597GmEr+McSeotH05rEW0HGX0pa21OKJVQHvt
eMt2Uv+KkhiDitO8rHwEF3JB2dBj3RkfnIwIhwr+3NLnwUWSxoBWMyFREEOgStD1JvCuQVRSGEmn
5XA6N02W3ZZBqWHivzSgDlFBotO1WVhl+idZ1hW/9+wx/cXW/GzKYt/PLUXlTm/LpcnBAvty9iSZ
wu/YZyb/UGANQgmB0jHRaSAQrcwJUJ7Nmq2tQqNsW+L0S3MUOlQFkEUezoHehzfO7uUWg7HCA4aU
KNiBFjTB7ZE9W/vhsHb90rnV1zJHvs3DcBqa5OBWDW7cwxT6ybUFBpk9YULZZk9k8JXcoqZC0g3b
NR0zEg/n1uuyYd94BlJebNWwGyN+jX72eG36RqM/zKPH43r9zLfe8H/PwOLMEXmwGBl4sNNjOd9B
zNZU1tgbWl97rBPSP028WcbipA/FUNKhSBuSBA5TszScbk7dCqbXBEAzjxVcbE5ztUioeYRaH/ML
BdY2y3URN2Uf7kpyK2j5OytWeJAZtCDj2y1sOCG9kDiaPaX2UJNlliWEwjZvLLZbffn8skwXDQ3I
QiD6oAyYs1ZAkQZtEcZV/Uc3Ge740HHxTX0yjdhimG4IaJvjpIvnDY5MpwBXNNB69IiGc5kzWqZs
xzczpONtYNd5oXOObWFz5S0hve4dSkji6fezPRa8NdngiLuhHtqyPai6TRkDwBEZ30ZyDcD/0Vsz
3pAZLpV7Z/kVj1MabPuoxrhnlkPoIQ5gqx5x22unw4FWh2vPgTryIzmFeZ0ivg4lNszfQ2a76LL2
sE94qXEhEr8h/WZ9TP/4vSo2xImH2/UBhMFf2s8dDt/iXqCYfFrZMY8PQdlx/TAbOS05qUR6XWVP
ta5xwWzcheoGSzfOvWnjZTjMa1oxJbwxFl8uwZQh0HnpE9HoY4OInd7ZQ1utcYBC6xY4D5SF2NJV
g6N9r5pYGJLHWVfSoMKrKrnHpUXgoDVBrjjd+L0Jk4htMq6DbAOj5hr9bJkIx5nErnGg327ZaNhc
3VyOZbWza4rtckdsGheZFInGTYRfyvhXf4VhGY9zhgzDzJEHqWfjkFtX6Z/ZiPzhPfopD89wi+AE
3lHu0dsT3k8jGGYLRQhsD8h69Ov8s9IIiuZsYKqYfFFgliGNaqDCjmByE/lBdPXhfQjEnk6jAOqG
vBVk+Mav8beBACHw1EG6R2ekfYM2KAFTI7UVaaybcC99glGBP5WEwC2yjosOpckLfjvC0iaPhoY/
lI0OFgjmAnW/JEM+u0+REQtWxFTgW0oLq8JixzYIzyA/R2P0RUe3RdBtXs54EXC4xe1BD5HlulqE
zDXLwxGUQnqEFkwGQtRgrUTJX4yTlnr+V6IfYShii+MH+OhU8juZPUSEc4NlKF+tRGBrXWPH/n5c
M0ECnKNQUAPstEo5XoNLONfV1KSGoYHFiIlfcRXkL+2IkgHLTUx5JO/+9cF9pgoQqjqmJJ9JD8k/
MJhzNrixJwvidp6bBwgyaBnemZGJYT8Pcp7i7hYnh7gz7rikjLEeZCH5H5+DGEeU6HL0K92erjO9
G/z5XolgFZtjLnCNKo4+9lI8gyzH32t8Vw+NUOuVTbryZa706X79csTZPp9ffZuNkms6lk8RAvJ3
NjrnsDcGY5lAAqTNfZGbA0p6xVnLk3JGbF8NiGTWjwQuYNXz1pJLXffyDIT1lFBdedBZKYjOzqAj
5LEBFnY/i8HBah85bUC8Oe29HCfaVqRYORGrv1f12fiu6YjLLI9FlmikDRPmB0Ot/2A1ASKg+7Ac
kPK8foPYMpyfIJs133JZm1FP8L+zEySpx0bvYkWfXawRcFoiRFXYnvVwCsX7ZeXCFkNFi2smYXHe
hXptJpTKXftYSxlInETiJVKuKkNXCfejOdKE/KUNUhFDqIZxiJaXAa/iGaeR5qu3t7to5OMhgpm5
fqjLAELoxehHmIHvuEPzCjIuD2TlfcbwVzZLKmkC0FfrvYuhrkwXT9hlc5Wx6oHpBtcxcreOReeL
t0ZLks2FSoakK1lyi+1K3+1xq4tbb183g3j3UDoIJYsvvwWFg0DSlTHYbHfizRf0Wf5SDesfWqwE
EerXGYo7Bw91AuEIde7moOckKrfEPQBDr5JbXDI4+LtV71BDHzA9dw0c0EyopNhxjsJ2qHSrlnlG
C4yCZ5HWiZjnW/iZnF5JJ1pcFpU0Z1JOgLco9OSsE05hq33EtVDwDSWkCnWoY5DPTZ9jfxBCx+U7
ZqOBso5/g2k6X+oJXkR9igiiW+KjyrtX2hl1sKnOxUX5mEJw2dKPTmG7yhGr0RKc6soaw3Meu0xL
q3C049yKNYdDs0/LlT7xrtZhi007bhNcYslUcdMeLvVJfWEkEFT3vSOnRWy8dZKaSQLBp2lXy+lU
nYdyJQxtPze0z6PmFH5ycHH+A9JWBl+Koq8k+SGDRowuKSGDaCRc0V5/rwSg+fK9p0gA3KFWsCgX
A1vMC89KbRrIKXEvbfcYtNnMPVPYuta04id3zFbu/6QwdqIteZTqV6izBXUmMP2S8WpVpghiGX1E
4mjT5NJJTqZYK+rWxWVuSpglxhuPFYMniwjBhTW2X4ZevMYzegRKEDjPleXe1Lgwat1lifZJuMK5
8ISwWzNrArWuLbkWytFS6Z540RV3xdLFi1DJ18LA7oRJM/VTsU6pMeYkxciIUK+mTlSAlX5LRs1v
A3/vymWLyE5yQ3ZWIWgC5ItvqQxGn3Plg1+3/KEUWup5znIBFiHPvNmBgVrTI3hHEzPJvDZWbRz8
Je7mfJ/Vo5gtCAoXF7JWlXgpEfZ6U7/34yUf2gOIjZgLVJ3w+rPetKnPVhmWFSQZFqozYUwKK/ts
p9tYJQbnaWl+9vvYombVZlvQsHxtEqEITtuay7UsoEHBF7a3YTyLWk5ubGPcbSlStdigkDdmAhoa
ov+yLnuSFV0y5cJovlkmLJzDZua3oqDm/0ntW+NDUlliHyDp+DOgLZRmP2rcu2TU2dldvX6tZ8Ma
cQbbFZfZFKIIW7Hz/S0R6C68vyX/qPa31pJPEJOKcBSm6bjwCG11Kk1sogHzO6LJZE4Q5MiIZf71
0zHE6vT81hv0e3nLSHfjpEw0Iy9fswl2a0xd2H7W5m5hfoNUIiwSWPCEwZ30zsr9QZxjtCLLRcXb
6908fQPcjkoi2RonTfQq3em4kZbBtSQTR+hA8SsKIQgZ2LmuzjAHb0wQL/v/LLRsH4AdmBgEDMtu
/OWJW7VdjwuORx9/+EgRmypcT/poNalC2jUcnRxH4YrcwivFtwMSGbi9r9/Cn+4gm0/aQWD8AnoE
aXl5Iiz5+v8j7LyW5EaSZv1EMIMWt9XVkuweiuGOuIHNzj8DrTWe/nxRGdxdco9xr9qKLAEkUkR4
eLjn/Rkj+LQVWIY5IlUtGmNWKRZ0X/JjRDF1+x851HdxGcgUI0Bo5lKAhRiSfHf3eM2NFQ49/efc
KkKiInUH/LZfzxP5EpTrpZ16/R9SiAAf388c6scI2VL0AehmSn8X92ywjid8WfrPHbYEbGje7G7s
ECwyGlquK5RguKt4zhfEL3HVyZas0UzT4Aq+vtd/DPxF9mnHCFNWNwuA4kbaUj1Ivw+EQB6Y78fO
6WSTsicH5OzuMBmERg6hs8kGpnujHnI1JgVWcMdNWJ13TzeOxE7C0mVMaJ9GrSyQMtHwMEZHZ41X
Esv5fHX8Y0GnMktiiRwOI30wWxbWHAiM74HzR52Xo0gUmuRKhQhn8AgJkkx4oDt+udKaAzcScz2C
dpMBbVEj2ZEazlQOmi3RY4M+IMFbi8oUt2GkPfWkwz2l4Bo1M9tbTwxiarMp2wcUYXrrWmzwhoeh
Lwe+hBNOmrH1mzPsP7ltD6Yjp1lFTZWfS8xYpCZHAhhiMB4Cb8bZ8D3xuPzBhFgyTr0ijQK+PbpU
CbSbNvrCIwwHrc+Ri+xhdEeqyAbw7gwCURftTEyjEaPvtXI/J4LtjO/W+UKSwwpXAp0RwX/5M+QS
wympHGBF8s4wpgS+vAv2Q5qlXZOMooApB7F+HFqmBFk0VErmSLVNIrXUUKRF0Jj52OQOLfAaP9pJ
L60uBAMSTWogqNfgmlkJq1nisRltR8LJusd6xL53gvR26JqE09kti58ripGm8N/sbdzAay8FPbU8
9MGy5F8bMwTAUxI+6fDTrSbfTep0S71v8z81Qbbe3spJz61HZhGdcyik85nKUj8jqEy+wTXNWSnu
U1sEQuo+VUuYxfv7BX/utn9QjVyV1j2gj0uTQbYYpU3PksDfzldZA+dULvZAo0C5zselbm0B9TDn
OE7WR9gH+c8FmjgQbnGw8mk/GOjtA2jNH+2arhtgAdMJrjx27Ry0zSTajApEu0ySGGlCiYrfrf3P
pCb6IJ0wl8C7NUGUb5rmTwyyGHVrsRJhLkeHxY2aEPrHG7r3Xzs6faq2bbPJelCnkLv4dke3YtqM
HdwQPiHlO0i/xEQOOn9RF826Wxx23LKb0na9OlG6L+mfyZ7Tk/zCtiUQ2lK5NDlSfpytZb22k1MU
/l+a0G9jIf2DXpZWcXuHBU+czY9f6eei4sVOV1lyFJt0NR0XV8LFjSSUZhSNDFZU80G+slw2swnz
Nw4cO6t3JpliCzY2QAyzenOtNQ52gBHb5hXDL1aBemb1FA3ePM5fVLnyx4P4X6eDtHM7sBkRPqTq
9z1SThHUDmbkpj6llF9Ece6r9+GMRJz4FjsH0llXJIrrPP/khjd7sB9fwo1H8Z+xDcEgwSTttyBs
8CK/P6GccNi2LKyXT+jRi46eNinQKHLLvkxJgRRDYgJMTqRFVN0G2wJ52wLRyFLsuLRPjGhOwBfn
ZjsI5fzWEmF28yJaRGuzNN/VDYmUXeBU0wVyn3Qz8kakAruAJOmwOtw3EwX+zqtqFzbrJNDn3OI/
gNNa3XoCXmhHVLhnIkI1zNZZ8ug6hJwphBSttOKvk3/gO3NBk0Z+X8OuyijQaChX9b1gTc5u1zZv
3Y9DXqoDGN662/9kbfvfBrmUVlk0IVVedDH+f8UGe8owsT5tNF78dWe3Nm1QRrQfjXvBFmizFBhB
UzbNxzTHTmgbYBzyPJEkDa0zwR2XvAf6vcu2uOaVMK5BAE8fJv+r09c+J7EKfm64YdzSJLbsf2Y4
l5EExwY/7WbU51ZEFqXRXFGKtQ17kvdgile+wyRsp+l70musglROEPNf5oAbnbLkvtTFTMEA1aBd
qsFiGfpG8UMeZpuge7lV1c+F60kSZQ72bHAEsKmjYWR9LwbL/Ho0rNhyoAViJEF+vCwgpgsX898L
I6A9E4kgomdKG9TZ2Oa+3eBOG98vf3JLujb63r9vWuzQowtdSYH3zJZg1e/caC+il4j61vxXSSHs
JffOY3uHNsYxfh46231usYEbw4vf4gH4UBOQFOIAGFclcUi8+7+w8vLpsrgrOnKzX/l/nlawuX8D
HmXFFVAvC48/kshezvyJ+BR2/4fJu5mkWl0OoPsyb75duUg9olVbPc05AvnNKwdRxOrRzVD1XpF7
lR4vmliT9njr7Mryvbu1S1eyeRqNe9YJtnF11bye2KkzsWaPo2P8gzajDCx2KmfUvx5rZPSD4mGh
4sv6GuAzcvIdXS2vUsxkOvdDg+h4b121pVB1nkaalXzMC+hjldSt3j2JueMiE/9Z1eAdF+JCUN+G
kIfBqpHUOT+TnWPW8gieUA/BP0Xo0c/f9F6OHk1LWLS+4/GdSDXGEZ4rDeI+0S8n/Jg9et9JOYEV
FsTlEX7wyyXd6H3o/cDJr40/1EH0Ql2jz5bPCItZy3l30pnlcWc4LVnpH7u3I793dU362YkmgfPW
h2Pb5C8ZvgtHf+fYB9h7eA9UMmf2x5N5sTVfkqkiGaJiWRaY3774tj8U4+vU10Suv80e9ML+cTwA
OsPXIJzSo3pOK9iyD2jJc1S+0HhcskIvYXrMLMUJo3t/88EKIasmz3Bbl6TB2eKoa/d+xtc3WjlG
La/BKxQoD/5aGftT4T0NNCHF7lvuD1Sq/pqmZMTZ0UOwdU2evxqImzbEyiVaR7s4xHyg/42+qO5o
Hkf6QZr5gx0Tyk3UidbMby91P67hrwP1z3b5Pyyi09r+QDeWMANjy0WE7aXHvtx1HnCrarHqCeaQ
vqN3Oz3gPNbTHBZlHsk+v3elnOE0fVVsV32WCpLhhP0ufvBH0C6x9wckhqVvXvYiDcbtr24ki/mt
xYvgHB92K0/TsGCUHTajCwqJdb/fn0VfLPMjdKKgTO6mojnofZ4L2l6O61FjTkXzfHlr9L14fRuO
+4UizYLnkzVTGd1xBae/NLyze0hs4c8VhFhvf+q6ceA7kBTJEGigLJKeuYOh89CGa3RP7GM74V94
tCTngcFFVSfBu+AIl3n4OULa1zteOOBAUB7tKI2bgY09hXr4OwsGmcxrNNQ86WtRhV7hvdsQscKr
6QhTi8HEzZU665t/QF6KHmMQmwGfrSKu5/KKti2OLW/VsuI5wkY4rbuFQSJZcT0hT3zTVECesmGN
uvEeszVkJ4gKIMVWCH6xHXRtgPrtx8Kj6eKjl4PV1DBMirm3iFOgsgmEx+mam0jPN/K79Y5jEiEq
1cFs+5tF10XOY3jMid+j7G1b1F6CCcqfe6dRbIqubnA+Sc9/ff7uuOj1Nm+cuNPp3JHBp1F7TeJl
AOakE/3IIqyzojHpwh4DEVOpyFEOJRZz62lvh+biJf4RJw+YkjlOeRehaTBhZlL1cbPcGy3ymuHN
vJ/bBKDFvY+nYy+Wu87uyU0vrtMSpV7KCp/m/Brs2e7CArF2jCVRE7CBMe7WtsgH+6Hc58UqrkFS
epuFSw2dNsGDd+L0iwanZS9deZfPLTquH2iTkM3LsYDbwOQWd4j6azLBJD5/clH+gg4eWgipt+jc
N/ZI61K+OAXdmXtPwPEAQV2qNzm+2KgXUUsdJolfYPRxViowry3o9bG32fq5OELAsYeoxu2+QcHL
El/ssYjyxv4wIURArtrS+MXFxDi6spfsUUDS+37NaA4OsalZU44KdYa3C3cntL6gqh3iwsjuCu+M
RB459f0PrDTKrXzRbUM/YQG+giOpB5GGZpg10vv3vLv4j7l3Q3jQlvh6uIs0OMfD0vOPhWkyBsaX
eaVMlRUhyTj62HfgtKXY7MZMoRSfGr7sRDEYV8W0EcQMLoKcG4AnEo0WRhuFfEMOI2PTqlGhTlFT
hs2bBfr/y1nRoJ29tDSN1f4naisycJqSpEmYsUFnUyZfhfiaKEo36ARz5dY5M28+VwnSE809fI+l
cD5EzeSvHT56ERZif05tPfXz+y3Ly8xNL4kZ8X7fOj642aNHfqRu1iVdIgIMul6F3t+fS5/ujOOx
hGNvw0fPg8kmZSmQd2P5hJlMA6dDD8h524MVkHJ70XwGsnaNArTW/Xoz2GObZQxhjC8MT9fBUpPP
48gmhVAsaOWRqffG1Pi73b/S7dQ4+1sfRIBmz+0+T9x4VRQCKbnsMbwa40BGQ0cWOaOUp6OKC9l5
SorVhngAUWo14X45z/L804wsitjEpF/6AQUa0NnfmJPbQp8zpIZh43Yf99Stx/VhdQ45FDAr5au/
jOMgCjHkkxsXCHFLWvQXdhueRVYZDDFOi2x9OVOOJjzejRbhaLzVeRTifOOZdE/MuflZjUJOE0bg
wVen5WM/++vqvdOoyYqwF8Cqd8xcfigq16DJHweHxGW56mzXyUsyLxGqlxcLV2ZweESMZfc0Vps6
cfRKnDG65U7mVMy9SVIo4CBhBLmmnbYH2mQz0DWi36Wi3jqanI03wMokhtatf1/RcUzAJffBO0IC
rjQ6Sai+lPFwUpimkC7Z8uYPaV9w0Jqm2MCo6sLlk0mzpLawSthYBALEFk1y7sqoHCvk7pve5hiX
NN7pG0WfEIY0I6bhXwL4wi+l51Iz56ztZoFNCHZL3UpsrVhY7Pwyv9w6lg9OWVy56Pdx8T3GU9GG
7+wn5DbyKXpKB7vl2/p6Ru3ySzr4Y1G9oCsh0SfgluSd6LrLlNBDbES2mss2gkkBwue80De6eUue
f3G8eStbHL5DuD3d2YmuOR1gInQw4GvAraMuL03RKs/S2c5tMaAdw0YxLrgLF/c0/1BNu5sCG3+f
j4PZUz0RNufn3FaC1DkZtjgnOB3rXNQigRHzS1onogvRORR6CWBvalHIlldkfVfwaNmYUFsVwf5j
LSXZY7fvWw6G1cj468TPgD3ZAui08gvqpbWDZ+6VkH50A7QASGfzJ8xqO9qP6xQSW/PawzFr56sW
fF1zhbrMD3srifd7EwwgfCv13G9XdHYsMuINXgBck31iVtC86kZm8n7dqnw0h5huZksmWRpJzcu2
kFy6iEMRro/6WkwydiUnmpClsTZR9zOyS4dtpVN51zmTd77XcRtMXq/cES9G0jp4JyUrmWoDl95h
+HALbRRk0NRiHXOpcjplLNuUqWU1xmy9ModIkBQjKJQKmdIuMvBgtL0dcRCYREeJn8HwS2VFtyOo
tgRoQCEIiaocLK7Jgue2TZFzuqwG5lKZB93E9dyE4SlXqedmUJeCbKgm1oz8G+t+MLyVZdmlxrTQ
DcoPhUaTiKZ2OeetunRW560p8nzc/qRvVxRBaJCGtvi0zv5i2ei201l9QvW4yX58dak3piIl6hg8
g2zaw3x7s/KeaOPSRFnJx7+CNEaxnpqW/HrucWxjaoctgov18y2U/Cp7eYbRFD2myX5Mv+nupOcz
SLTALpx+gvcAowtQYfkDosgfF7eXxZVkVNHXF8X5v9qimYWne45uyPFx0CF+2Tp36qEvxfJp4El5
CIF9yhERGgW2rWZPJdBASr6A1GDOoqqJbk4zhgSkPzeHiGxJTHzDqsppkcMStWSJlvTC9LgiAZE9
la2x4/90MPVmuRAriT7qIVscZczNknLkDKY+X8s9Zh6zIokqQIIeaxrmHwuvmRaQFZiN2XnV9Og8
h1nyRYN4wUGVQKozExa5RPEN6pek6iD60DES8dJVPNPcixpkfA3izRGqm7CiafgOySGt++VMC79s
8z22UgQcxhekNCbSX0+SpZNdUZ2xgdHlXNV3+sc0cNftmFkuwiCznQYEcHtIEowkuH0LJsxRddSI
MHEymgeov+6vW7IFxBuAnufXPCRh6hJo6FmtR2M1Y6DcvJZwiVjPei2KW+ExsYZfmh7DuJ3ZvEj2
o6tHC3/q3/EVfcgDny1O0ZImAaJo73dWOfxJPdNwKLxRv410nmKDUx5iYfdR46E2Ctcm/ugurTNP
f/Dj9P29o6wgx096bvEIo6btVobaDjc59dRKR0uSoTmblPWQxYDfw8NRYB0dP6IqgjDh58bcs7Xe
pmls46EMjG2iv8lDswFpnltZxOiPDFEqJU/7wKOWueqHE0sEcXIJZ/qJTiYSvqXMohcrwLLAvqoJ
TF5ZNOQ/J3Q5fcwMfm7n0/ib02Nk9LjgCF3eYXDjUL4qcLNar8u6IKpyHy3rzEzv92XN8yf3WBGb
+tLYg+U3vwzdvs3dfQtUMhSfTgcybvwxaNy9y14jE1lpJV2XhkLJuvisHt4K8NKAbSPx91jZDJ9G
lUXqg+6/gkugCAPB4+a2CXVeMgc93nRdp24xd/s7wFN3aT6VliAzf8HylLAmtgc5F/SrSwO+691b
C97vEvlU5+C+cMT2bvVMaxJB0qOJK9gqZA1oQVv3CA2/cssWgA0Q3Gqyv0G9xmK7tmYFKxV/DxrJ
gYK6kad8TunEkdmnlQBk0EflJGxL2DMEarq1aY1QN2C9P0y6ZKv56u40zrM8736Q9QyuIT+h+53G
efq7mSmNqyihOVi/0imNcJQOtQ7Sav5RN25TzwzibjiWyxwhHHLcozZXrPtLtkL42T47A/vx/E+s
xjphf6EUtwdvO30jo/96erRFgwkh2kpxTgV2CicXxplWCtMqFV5OCzWdfyzXbJaaeJphVPWceFbU
9W/UuphET6okouXN2vDwxO6WAcjT8WaUF9YhCTENFTRY3Fl4gPPcgrXC2Oc1sth2jmdjiqkF3aLH
24bdo2fGJvi1nfJpNeRTbH02/6d8Py3bnje62QmUwTQsSem4PL0fHECElawXq7wmG2iV26qxjuQH
9jCgBPqMb/zqZk+6q9UB3raw1qJzT7179FnjDjtveGcA7FMbxWX5GJZeUCR0JCRCNMvAoBi43VCf
9J32zQdToXq1/dGCqd/GskmptVM0ztImAkNHyp4qWd6Lz8gvY2z56KqY8kBXOMj+ov3rSimSw7mz
9muSlvZ+Z2f5UQxXu6/KMb62qBIG7a9EobcR7WLhPjZlnSRfliwehjsN1Ykci3J8QWv3PPEbNpKa
Fro2PCIteHbeJMzEr0V+w4BUDU5l9WlluADItj6f8A7DR+Uc9GZ0aLqFbBDC1eSbhhJxCBQuE4BY
VLZM1dspYkonDh7ATFun3h3eCGRyi13MhLNarPD8v5SJPRbAzzDHjAK9zq24wyLc/2su26Vo3zu0
xJ7dY468DXcDa6hiVhUI1rPu9VI8/gs3JEMbDekTYQKZkSYPk7ME4itvrVA9G6SErUVvvatx9GAX
QGnMqQgFAFnh5yqg8OzRFY63IkRvkh+hAOwJtHSdisqTjUpLbhGnX6EMDlRgeKM7RULvS4JTPmZq
Ox6dIdZn5eBZ5u067Pq+sKQu+Kr0hsnzJV7AsUYeoZJrO1BuytNrgQciZApDWsD1m73yk674sFil
rkXbgnBisuSo+ZMY0uIKUZ/dwEWwgMtCnyVd4XDYhyznrLlx2eub8LoKnOmGqTdl17PYV6vl7WGo
i7Z5wmauhGklv4bmphSiAqMAuBv718wEAaqShsSVHeVfTrRql/mlpXzM4PVmPp0LsKp4D9/KWfo7
rrHgneZcLt2M6NEMt6E3As96zepooLRLU8E3BFYzd7UDYgpiCXCycSXO+kkLhR31JL4daggTP4Ri
xDsO/Mx/U6pCcwYyVC38h3z7stSY4RUP7c3wAORN9joQ6LnwL/Xc5y3qv9ZQ8Sw8M4mKcpKdRR+C
PhIN4RBaED4NRY+hm36F75xU+cU6bugQ8k01e4pOT1Iw2ZlBpuRSYD3LNq+rB33fZOs/KSllvHVw
zLfsS7dbdyfKANvPSiSiLsnchfF0n59JkX7Y8EsezsuJ0FgWUbNoRRdXw0DbmGspvJeay9pMZqU3
oPnZbrUpttqcE+O5/2aHe+mFDxqxK+CjYQKKP7lX/5mx5/qYO7WTJKEmddXyWGIRjM7DhYoshmfP
mtdpjPMVRDcHtRJvQEWFxqCCzDlUVmKBfOoFD6MCkBbRrw010CH7iYNUshW9lsTE5pp40sGUWPnj
6FmpD5ph4DvVJaXEW5OKaFqIvHAhGVAVw3S4etQiuAfFFzUy+8rZwAypdB67CkaGdwGw89c/89lt
zvWBapTDFNsWD+84OGMTsc6bJuxEmqC3O6qegfvUlyAiOFpR0DzS+z0trQNUfOsDihabV0fceU+z
u1wQ9QNmTGrScNZMNvwrUEe2QeZPgGI9FxuthwCXjeFgNiH2nAVGMlBX5w+p5SR7/QC+167um7Bc
l+FTCXE5GP/uFneqsvdU1zzv+Gna+s2dMWHdUFJd74J06vr6rUUhrZ6flr0gQb9E0WY7/UOEws/i
LNcNM6KECVZPDSWLO1RX8oAudoPnaVCscMVcYKLH/M/SjqGHdGifxTvgLvyZHwhgIqJaysVHg2HY
4iHh9z4wdZZgQcnfeVNkazO9DkpcCc9cZorVdTjNv0V4EdbFxQij6vNTxcXDAI2JQZyoPAj6OBrJ
YYjakvLTiy1rpTP+jwyEcM40+56oZkrGYBD33OUxxZiI2NOI5uos0Oxbjh+KFb2ZmFjlHhUFlIdk
L9d0Rr6kv+CvOcYrLbYYs7QvxVzJ7zgGtVBwbrI5Bv8F1Xk0nTPb2txDbvlpDCGLRg87ZOm4uroo
MjjOfbMvyYYeQuWg7PieuozQTsylHECmY/5pc/K+CAjgk92vPwKLZTTZV2u7NftD3sAkze482pXC
8xeqim42PeCxGtftYx7l6GK+JGh759FTtnT+Et4FTrWm4y9phFVq9xNl2CPqLgQ8mDBeq4GMPHvw
0iHy7v0VbYH50XaiqSjRY9l3dLusehLvI+CNHpcB50zk1ZgeUsyY91KO2tn2hQ2YlTibBXd6bPuk
dGNytwQF7Tx08s4uIthpVjv8wTvM2/3rNjYJwswhosFtdc1Jb/5lUFdgKTaQQgAxIGbQb9IwXODn
GO2/HEC9bvlTTb+x1d5R0tnL9CEbk2IoywtbRXZsdLQB26H1CoLhH1d4NfTQvGNs0Vq6i8/NiYcP
MJhiJJ4Ci5r78dDHoKPbnXdOdnpe7GneyQ3WfejCmRPfL53xUlswo6Jn+zjyZL4P8GaqPqe2a0Xr
I3yJYm6v4+FbdvmhpDl2Df4Rb/TjVX96cLio3wcFeYLztCZ77Id3O365Ai9WidvH9/kC+R18wQvX
gtSsoDWvf6gQyerO61al5RZeA8SwKv++goGMTNNlCDdnHinAT8tQPZ6MVrVSM3NwM3nuaHY8o480
hSxH+84bWtQRLulZBHNxb60Tpa1/DKgpB9sbJsm09z0XZU136YcCCdayfQzpZCCYdaPG5+fHDQGW
6q6GoTeHiICegde/jw9E9fs/mjCqVoSRkFxD0fody2p3ow+kvwRMn7OtafigRd1vTF/XAEOM8yHz
0YWmJllNjeX9o4sLDp27daEa/ZxYiZ+d79L6qO3tj2ofzsV/qyhl5P4dXVQwInjWWFWP4U99A8En
vIg+uH+8Q9RqCKarNfdD80+6HuJ5vUvYWc7sn3Gwj/7yEE7ZVBf3e5d61esSoB8VvNN6c05DCZk1
/VbBvv7R7k1Iz/Oly8IuSh8SQpLjCaFweA2vKQvY3ZjjN5pdPSBDW3/qURCu0p9sr9r28ylv+cD+
LllmHAwf+iW2QFxC7CyhOBx1NtbheyTIxwUz1QE0wr263umsf+XhNq72O3SH87R4pD4aNcOvrjcG
rvWxqZrSRXUE6/fqLiFO72bWOFt69qXATnkK7ygy5PH86EQl29XVX+zJQgy+sSsOCtpJ3GR9bq31
SELqs6DA813WWG4SX0Xp9nDvpyo6Y/uljel79p8ToKomXC9HS0jW/UXrlz90v+FNE2bNp84qOiuj
7zKpaN67uBWwovfaV+hzzveAbwgP3icx9A7ktMgiT3REkxJrzOOfx3QMUUfZLrVb73krl7Nw40ts
b0Pc3lOtRb3vL0gklEk+TC5xdfwUxFkW7H81pKNTcb/OSJpQtQaTg5eyb1FVd28ePe/B+hkK3jB2
v/VOAeD4Ab1RiT5GDxHl8FcEN2nk+33zEQotDn6w3fftGc6s1GgXUywYvLTuEe9xbWc6fuVckgJS
DY4PPhnsSK0AiDaJm+bX44Qwgi87bBFOI8VR2ItKx/28QQdFd9Cy9kRoF0PVDOG7oXCdGai/6hgG
NBjgo3XX5CZ4nufIRc13hE5HT3Ax7ztXpLwFT+vFdP0R30wTjOvq6TQ4HB6fewCFhIr7Ob3M/iCU
0dZwE0tTv9MLm2+S+3pQgfJJy6Gec1PmSv1O1SBKxdUzT0428D7Z3xXq75pm52jS+vdqzyLY0GS7
1IjA00V5OzH1NHYeKXUqyRJOiyB3GjUiE18k3T3IemmPVyySJU/UkUYoQ1g0RQMTVyLf29k+cHKw
RiNeesPzj6ly3/MYYwwpwUsQaESALaQg9S1PLmizZC039JwMgVE7FZqqKwaY1yajbYwfWplBKNdM
/MjTDVbDj6/l236XAB4lrcWk81xMBK/1+6Z5DzjxROA+uePLcyiNsL0Fde69SmJndGFBH18VFuBo
IWEnFZRc78eX4XzLHUSfFMfIAJlbI5+DyOS3YxKuEHn8Zc8+Kpu2oyzSNZgN459UX6nl0UF5h5HS
Xv6pFT5FKzXsigwz7n9c1bdPSq4Kg0gPpiO6bSioOt8xGtEtqaptcIePWjnrTEegsiq1D8OdA0lb
0X2X1gb2X2kvUPQqmwAYwBMNUrKZbsHAKU5CFm0KrUZ8dqM7beXUTrivNHZDMP3xXd16xf/N0+Su
KPAhlED4Ao0u/i+eJhyg/Ayoj37U3mDtIlZ3E9MLjinFCo6jrcEZYldkqVZ2o84qkKQNkUNkC87y
tRXEdAFT7pficlcRIf0L48Gd2wK56UzGbDgmKilQGA310aAoOnhdVFO//Ulz3MrAnInpYVAgsKha
gdNqozOgoOcyrJgPngCB4Kj6BNTFJ9p7O3xUoEGByZ5+73B9pMHGtv/W5svV9EnTyClggWI3NTpg
cqdqCHTeGn3V7qD2UCMnDA2O2F4eMyyz4/p9HMw0U2Hg2UUCRdqd9Ge4xv9QEaAfP9rvKLg82sBH
kCWEKs0JjKfld8son/0Sat+wfkD0XdpUyhrqQvSojF8Po+l/I6vai6LPz6XtnWVNdbYjjlZQ2HI3
AXRwhZHgWpOT1iDFCi4eXcJgl1Mm+KQ6J2jvjg5945Oz1xenrejh0d4TOJwStecGL6am7VIZ6apk
q4K74nSbynvKRkc4Fz8eIPf7BgJaEpn3oQtVmb5tBunbfaYK07zdhin6kmUlhd+nzSbY+OSup8Cx
fuj4/tOCfTwyKllQNbH3QpMoei1bSgv7QYMPTSbtXVRYR/0X+JEId+SYvHFubF1eoqNEg2BACyn1
uImGUq132KKGMt6kZDakDcK3xSHQRLrH2mI6RU0jaRiSvT80G648/zAVqfbY6vLvHw/Af80Qn/46
D4J2iN9sIJJD3w7AvFdOVC/d8cXLVpGWmceBAUjHPbD/sYRTtyKMkqCuWF2QSeFSkyXow7fG6jjH
n/awIbe5P1EgnrMHygnL9oVMHpzmskUQutsXNFCReWkp7e7rI9KaNARcJtyy/afChQfqAho3CCpe
9ts4YN6OKkoeHA6dtI2E5m9WVo7l3yRN5/EuqBcBv1c/EtUaFaUR6Zrqj/8xKrKR/+eWiGaa7/ki
Jce4wOP7bt3YZUfi1+/Rz8K/qP5whg1dm74KefRnTLBZXQYapPwnRNlHhHiMBpAYQDFDEExBp+RS
rymyRJDk5AUmXrmFfJHdzgxAii/J+gkrG3f9ZNSL9gZJn0/z3vIDkUt0XF0ykntudq/jlrZjpo8M
nekoRjC3ZPYZnSEIfejJrEnTpnS2lTlSP8fcoeAzA75y0TfZnyqcRW3rx6N0O+6+HaXA80M7Qkgr
YeMWsbT/bJ4fE7umohiHP8c+blXznXVTvhg7fCHetnlImPjNDhDRP5RIUuOMYh45eH3UHkQ7Hu3P
ACrMpykOueu7xTpT/vz4Mr9XOKMDOhQDYXZBUWFDD/XbyySab7ytT/KfDwuQ6t05J1RnH7qiz+zg
ZR5tfNyqtJLmbuanPE40XNP9Y7/lg2tfy+LE5fbibPXZ/+Z0jinrWEP8rp/CaQ7uzvBow7fRnzY+
ym7T8ZzaNWZ2WBkM+ze4jyKe5E1dSzjqDvDDvYtZRvQErFn/E5kSdaj/pXeJ2t83s5jwKUQ5CGVW
usxw28RZ+tsb92lIijt/jD7kOPeAXVDLWMEu8qAX3AQTR8CNPYtmXjQGDKkCKNjPWdaLRyO2B/Kn
r9OOd2j87dnjbn02cPrqoEPD+25RaZDuGy9QRLfYyaVuGP4euovAL6WPx3hzXyD+k7q0spaIzF/d
c5swI543TyCdBQ943smBegLGxOHIIQKEJ3UG/Tc99tfy7EvmleWjUHUpzJVa+SL3F+2ufDrN7Kh+
y+siTdznZhuJfK6Yh1EkvGBdLfdi75vHq4wuWn50AUUBpVyDnutRbIkE0OMb5zjtGTGFijbk0Pfj
l2aHSe7fbXG0TT5+SL0YpZZTI1kKiO7AB1I6Sfb+XdWcDXccLoO8U3+upZmAV+qYWZjPRZTCeKd5
JurI2SF6i7K1b28CULVHJj/gZygCjnce4AC3lbupvIW9Qn51A2/i7vTnFj+XH8fWwGusp7WyaAu9
1xzHHnAYsi7JGUIieEoncIvfU9h9vKMNmqh3qEBMUKkf1KJW/f7AXQT8Ont/aNNP+kRmCS+HywaK
wB+IWXIpfV+eDG3Ko+dqR1JGPrDDN5drrwSye6ToLLcArAER6Em/rIWQybxBPpB7JY6WcXO91g1/
z6dKnK9iWsj5ji7oEDAx09AyCF4UdAE/ORSdEI9Kc6losw4MiQ49bSvyHTok4ADY/F2tagSOeR3P
oZN7Q2RIrj9duJ0rCe/Bn2xBpDN77Wfv5NUC45cfqg5oLdFbQosR46vXjw+1zHj65WTyuWEVMMx9
cc58ZxJ4Ix8n5JkIY8twjj0xIGXu1bEvb4Dzkfh0WvSz814rUU3Q+nxDPA+zO98jrb3TwxDWYEcC
WZSwfEdyFutSwmjjXjAzlKv/8QbKiff9RgIDzCFLRVOUflVu5duNxE2duRjivfhwwLZnftzRs9/s
BM4TE48DvcZcFsdvpBDmg65eYK32SvFgG517zWa1Xq/NwWQ1KKJ87fs1ze/aolvEVo3iC9slms/b
1yK1YRUg9Q2BUAutJ3bV5Ekn+hCkIoFtyWmZ481GaG0KdyoN1mPiQjA3kUHDT1D+b2OtUuTXRKEz
sfsIrEF0rI+Stvvazh/bc2kj96kbEdwQMaBbl21qAmH9Fjx1JZJXDkO51NLh/bXt3RCnM1qWmv5h
94KG1v7OSm7qRub/aAyQ6M/066kPuuYiwQk699PZ08DqX2hS61F+amnNxP4I485cCrzdlBdd826k
BxLLrcMUWTVCn84stQoO5m/SrwUBnumAzp7s4f6cd4nLjSljg0468WvXiF1ledwS2JZ9kqe/jVcn
QVb3vFAUk/pRdUyiIkAZQXACerWkVqpRvRbXS4xZQQ1UekiHbmgh8zhvKr6gKlFakNa3lCaH8gDh
WfEzyQf5dGtSSJ0tCZo1h3eheOSfzrXOPDl7ZjioPAD7RltA4u/W8H5Te/pKjDRKNz9eJSgKfr9K
ElkfNiJdCRJ70fdaQn4+h/hczdlPw+HJBkHLNVKoT0kEUj3e+TZI2Zu6qVLPk13srPd/r34sWkfW
rn54qGc5q41Q01rNUttox85ni6VzQPZIc96aF8B4JFMsbPnBJatQLX/M0yCo3/Bzs9ieDiejL+Ka
4WywjQ+QLGkHfGjb05WiN+0Kc/Drtg8RO0nYLxy8rw5U3/xoLynpvIwp6m38NNivhARJs8k5oIek
VmXsfQecQh60PWkAtsJOTvmzATRG6/J2fRvFfvZzICYh0VeRjXrALyiPRVzgonWbI/f3/Gc9MLK5
3Xbn+dzpSehfZuR73OXZrgsRgBsXHyb3k5unDbtpl9NLxVV3hBPhT/U2tByLuCKH3BgWcJLTX2xq
5Jv9hhwVwzeWbN7x3zGCSzAX6KA55jLaL62Up1YqTU0uWAMsqSj8/XCRNrEvIUnU5P7zXNeBrSPo
FjKdf4wmcAlax234nh4ulIQB7BIcQpm90+n0K61J6ZS8copn/OPqZEuNwyHaGHU8U3qswC5HgpHt
mJd7P2wWu/+THqemGFCSKvaY86GKu7pf2MPKrFpPZCmTvXUeaaGZt+Pp8Ko5336n4hGee3/xswNR
0b8Kz13T+oteEIVtORXp9xsZtJ3jm/k0m9CgGmjG4SDL6aVqrxrBaBBR0Dw3J69LkWwMb1GfHmEN
SjlbChrXt15avdIT0jCSOZ0pjFhFM1l8PK/1mORfgnFmA3tIQ/bV7TlYsMVKnvN6QzLjIxg5imhv
aehKs3SDNh/PfW1mmRr7xByS1tkFMPn/NkqFyQBneTsDXprgsLFsrDefrTUEdyrv6s46GWJpX+dL
T+//MXdmzXUbSb7/KhN+Rw/2ZWJ6HnhIShQltS3Z6h69ICxbDeBg35dPf395KjltHveluu/MRFw/
mEGKPAAKVVlZmf/FRev4AdXZOPwcHUfDrNtKeNDF591u0Tj5jKupvEv2XX9wv7jsy0xWvZf4cFvu
2o7OQuqOWorL7No23Kb+PqxrTFGZNRW/MbTnbIamBRZnCG5AIddMOp3d3opr7gAGwfx5MyYSEoaA
bMF/XRXEy+RungbBlqL5I6BqCLaScrhDLEmsyjH1HnDt4lesmc5hfrPk42LbN2ANogEllthqcJVM
TTe0BBdiLxBVIDzWfybVEqGOZpwkB9yW1Wd0cImUZne95/jBn+pmxS1GMzudmwdqlXsw36J8t0qn
KGMhDp9gZ8358CGe8RQ7Tj7YMnqeEGI43jyet4UV8AopFmsM/qL3Uo9nm7z7xsbyOfw8tsXEp1iW
I6sgqWpJ++KGwELnlGMReUsJS5IEcaC2GsKUTXBXZ4lqQNz8M+sNW5eDSFI1g8wXsDYt41LGNJfm
rwGwFv48ichnMdI1vo2+kx1e+H1FCscLN6liDs9Elrc32hkHuxOiGhIxWXl43D/4eEbxjmcA7Ux2
RGHlO6rkeeTfHucuiavHZs1z/iAuI3nqVfvR50aSL+C2RPgCTxL+icIakQMrArlbL0IlYfiULuXA
DLFRnufGEvMZaT3JZZaA5hU5omNJlxkVOf7azN/DxDunKeR8oqkib0DOS/Z59gmeFlgKZtDMMubG
+2z0uVo04hnT39c7osNWd8qPldbVCRTMlhPo9Fm3vAJreQdNS6L8Clmbm1hDtgQe0ofwvL9q7ZyX
8ZSPbtHCIzCTLJlQNqYA7sPEpZgKaNlK1t5ZuaSsyxr21kfK5ZfzELURPirGPZJn9bDa4866w4rd
9AFrRy/z731BZMqquzxYafJZWAcrPyRVln/rfIxsEcpIbfkCHltCLZRljqx6YjANezpnrMugqS9D
hAKz9XHleM8DNouHUTO72QDM7X2G43Zo8YYvS/scz/zV0xEHbURmqWbuZu9ezfIxJ+AjzDk9m3AA
Jo23BVFYNnPD8BrNwXGlbM6Azh5M6M/NhJgFp05/ljOFOTWbAx8a7YIvhrZGsD94SKziQalxw24G
fujzaI5Yupku5uApzHo+2yfZJkLr2Q+YoMeHD0ElXxIBnKY30+in289YUybh5/XoZUQ1vJjjh5lt
Q8WGzZHXbMTzwFhx55f9x8tGbgkonXQi9YgzHptQoM2BbSMZ5AEUTaNHtcwc5ruhk9ruXOCyYN1M
7L785su515W0X0AnJvQCQLKisU+957rScUaizQbAVL/XlBNWuRPDGPDmbEO+K80KqpokhhfZrNzg
OyP/gk5culYaNIkwPr7kRi9E+X2ahCO5M4fzY4naDL84HKsAWw/TGDtfGANIGAoOlggsrZvxXAeA
M0vTi1DJrr4vREvr5ecOrzJOJ7BDhDVgUtMho0p5fS7DunfOE39+B/7ZJ/125twVUoM5VyzFnACe
1f7Ey1e+Li25dBM8aRLGEf0jjoTPT4TUwrKi3JLxreriZSWqpO5Jm3AqWjEbuthmNCtg7EksfPk+
rl3CMDC0I+4EBzxO/kFwfSPlcY7cChGPhzNnY7pJSveajk0UuGwjxQf3SlJGkATCsSicrBDlm8Qw
BBUy1TudUFTRcxbKKZ1A4TqmRgfn5Xu+mNT9rW4qnUPKkBwUQFE5Nn3Oq9dW0MPf02Nb3tWIBzEk
a2mJsKgiVg+DgFYB7SL0ZGp1ASHdea9CYZFplwyELM5e3bDZfHEGP+Z46O+WNG5adkjCntFO5YxI
Pc03ONz8vPl0u3vgZlzUM+0nPXaSrCxT1N00pt1scP7ahdO1oVj2eUWOGPD/0Q3WR4xQJKAXE5ga
lkEZw/y+0VkYXkxCM6yjivzUeUs0LGwRG/YLdwaYbaeb07h3W2RLI4CKi+ACFvgichRfeqvjKDex
Wf9NIhdKZR+RCYA1ZTMxGm1n0w58+U051wsMidsYXzHbSxzpi19rdCHDmPtw2It3etjuDl/guWGe
+9FCOoxxkfc+MBo8COKIiJ0uewVql0b92zYSO4c/iUSr642gOfURFfNdGcjxN+5fKvDPZhrlXweb
EAfpSlZKeFWh97ozAKzZHt6GfYcE0L3FcR0UhEZAH8+C/ssTAdGouB+NdeYJDfzbtIBVbe0bt/a7
oU2wmXOpuHFYRkbpYkb3G+VdO7WrxWIyvS2BYMJeAZwz2ADc09K3PiIuKLPAze2NOboZSbfMu8ha
l+N8SZgM9l3FaNeqFZbRiOkFvOAYZQo0u4dFMOJTbAn4+uXbv757zMjwCkYvBmQOA3ytv+5Wfe/M
6BS91QKpZ7L23ux1qMkXJIQ9GRDp0ctXft6xlBYdqw43gyQm2jmolT+PvOXSh0i+rt3bIj8Lt6m+
VEyfrl9FklpGyOdw/dQBJ9X+k3sOzRRQnBQ5iIA+DbKr4BX25D1Iz4xvsDiQCGD5k6RhugFk1iS4
yDADn3G+f/nJf7fLxw5bDR4swFToa0NLeP7oOXCxNOX493huMuLZaJfZEr1fcNyVPOjM8fWhMK0G
c8ZnMCWtguAimGgyfBEt2Hu0Byk7FxfijWlXo07W8zNtSSRhLkVULdCzw0v6YobZHGjYyWyyWZPw
mZST03ZNWvXyA19vsuBNeNfIFtsRyyS6BgbROe621nXOj1OyCC8i3ygawyYaKbjCCzV0BxNEg6DM
WNhr5bjsAS/fBsYrV2EEMnVElw/VZKYW+vhXHbRzU+3JgfzUm/VA1gjThQTs+Je25jhIl9xsKy38
A1ZgSIKZNdnNXsIePh41u4pMxa0Cl8myXlEpIRfygBUTatRDQUuH2XIs3Z+9mXKDc0IdiesocUQr
jWqrUEwToLHXDl7r7BMbKEwCxbmzRVSDPUa2I8Pm6aui5C7XsChhODo2FEla2nsmc9euU0nKcAkT
lVTz+0PaylhnySbAB3eOOu7RM0wZ3dIqwPyQjDqOGe5r3W/1fKRvakdAiGKzioqCyJR9cQH5D7sI
gT/mE1AAYS/pprqbcdV9lDqmlIdVcFXRRfqbFHCCYTl5ZNU4milRBR0KvDruHCvdhofJ7MymcoiW
j8i/UQex2ZvowkqlGcyy7FQqPKcDqvgNJdYEFRGb1MKwvQwfD5CajKR5KcoFMoyazdTiDX6t6z3J
gvV+jXbeYcAe20VaPKWTLXA7c5/7jCxLhFLQRX1UK9XOzPERupIBH2kCAnXrEnCmKOMPVjSnqCor
BOsMAZIfxpcsXn9RR9qWvjzaIzirZ94pS2apudDtkCFYkcVgpJU8JhkmOn9GYnUxFDtqqS2vCy/G
ciqeSvxaJVeglB4TyM+FFQl2QfIvE1j0AUDfoN34GI2JPJUmyTpAOqf0zxQ81ptOhJbxZ0PXUtRV
Cyv6eJOsG2oxJ63CK+tsan2RtFWi5bz2i/+63sCgtCdtauhCBDNMdqgiidqQqgzwjFpC5gn/xy17
/OEvIu0Yw3A40pCp6vwIkUlOpk+omstqA0DRS9Y5oylBSfsw8QIg/pcDKekDB9amFKpmHewXbqff
Ixv05sgsdhdIQ9XKaGmSouODx5UAmGqjFatYM11f+pt0xzquWrlWR5RUIlbXX1wibCPkrCtRbR7M
Y80m+0ZCRLwiFJOnr8rM6PpIwfmexshGP/YNdWHhBGtKRz0WGwmlVNZGrFnxYU+jIEEM7JvxL9B2
S7S7uWM9Ws20N9/rwMYl9NVXOtnN/BmM6q8mOURoSR9VeL8zSsKryZRV21JXqkGYlQaFZT6qigOh
8KZG8xH+2sBr2IosqgD90q3nFou8kV5JbrBiehmdOCrf/LR8zBohS2kJgW5lpbzMljYyR2gD3QvM
rqBHYgXrGRSrMmtjsydQ3pSoomeZ8hJalbimEEqVhVaFEQ2OJryliHjyx1mXSCg225KulilHPIUT
xGQLA9NDlx/8oh7s4etJNWjaEPdb3ihD2KqQ7wr+fFQhbLfHuabfHnyfFQgCLvd1UaeQe+3Qk21m
MtqfNFvcpbtdisM/s1+clw5Ae0AJ8tRDKpJ1aLbEvFzFhkhlw0EQi6tDtdOXdBGj3kTr5C2cHiFt
61Y3r5BzRLNhjtjNx2CWv9DqxZEAMFve+lTwwx4H0jJMsiS40QkL1ntevAfU/MCz35r8PU4PEeWK
Igg48+PGeZ7NyAc+1ZHnJ95xwLG8xIOk7aRRZ75RPxa1mFBLEd0yFJzanZeoHE9Wu7subX3DblT/
CBUU1z6dAgGfNuatkUCuHkr6XEpA1gmj24HuRgbB2ZoJj1CexH89ik1GsLU3RWL9N1Ps1S289LuY
abmirvxlNAEyiysUHG80NujqwodB8Mza+lS11aosqGH/WQ+gFIlaArhX402IEpzZtJV2rzZRw1F3
UfA6wht6T267IRZRZrWs6ndXXnIbhHL1FKIHew/0QmHm6wiZFWJWrCKBl7UUPHE+TQfVnMaClsLU
Ir/mh7p3m8WA4YfIAEw7RjrO63imQ8/Ob9StNQ/I9kQ61ToHtcjRHUXOD7X7raLaTwZXsTsxJXyj
XX/GBIyZWGxlxx9U1SRo3sJoCsBDPXfd45YhiFam3yjwXdkfcdByEFfmAA6jhaoJHdbnqT8CwhZj
OVuvIGgsFmobFK7rEfjExYarWXynSN4MZ4bW+0Ep+DpdtPBmAos+1eJG6MXs37hJAQX+5rANzIpc
nbORCxiOatw12LYqvamP2yN/o3KcS1dGME783tqQjmrYr2Eovpyau1cHfJB3KMqgvQuK05fG89WR
CPwhZ+sOBx3NP00IVLSFIqvteEPy5x7WfEcD56Zu+iFNTyWk0KG+5WAhJItpn+eOrAU1GmhGPXIU
cXJSTHKfg/snYhQV/ro361R3YXqzpMhOp7d1e5YqkqloBJdSz8tP+DvwiWiyBpx2Q3rq+Id43tUj
pq2bg/UpvXtUHSWqAjwV8X+lt2elHO5pakjVAm3GLKW+YvLM0IPt4b4e0lLMEkxBTLdJxRtY27Sv
3skr8DDOT3qeyXwAntb95iZN/E63j6fd9QJAgbo1D+PtUMwumEvdj/REMVsbJxY1GtCtfPIt0UjX
uoX6wSXHIivRrPTYHyRRSqjHsLzOQReWXzAv3JvxhEA8TztlqYQhh/+xT5+NR95klAHciVSVzGht
BY2uABDocCI0bceUyL5onNNsqUM/TPY5RBUGXAnTjg7UO6pDwRF9X8SBkDnWPZ4OQDXHBEnsztA9
Juxfuy8LDp/xcIKAQVNF85Yjc0gf7qcLwRxOb53fYvYG+f/BKbZo7G4HgxdXryqtaK7BZp3LU9MN
yHO96eJzUGFOh/TRFL3tC0cav6E5I6nthnorhUZCWzU4tBIKi0pq8yYOTsYCQ3U5OtJzopTmTuYm
izjn1HE3lOm808wytkYGf6PzSkUEtF5m9tHFxPvJ2GXtkviR1plgbhaA2TnzKJT81fzoMCyZbywK
mfO/DTVs/7h/+zHS1bb/e29LZkvjo/Mc36nwviFPRGD9qV2rwFVebQJ2S6mR8AX6kwja0AeTmdab
HXirS+H56oeowtTLt/q7CJUQoSiVUfK2A8pW1yDhzM0QcJ/C/N5yLxqNc2x3y11ale3+lwVlI+sj
fEEI53fAO9KqeQ3YcW2G2zSaYB2eANgGa3ivoo90eaXDuGGX4CAbniaW/aDZG3uPCM5r+TgxD53k
9kWgsbMPzB9/sJMqjPvTyw9IAeT5y6DWQ2EYrLiA6B0HWtDzvSklA+v9Kcpf0YuO6aBhFCjoGLce
hQKijbyzgeCawtQGE58yZdGmUpRNDJqmjvOQBtl5PaRPZuCBztRIx14/0UzvDUwFLdtmtkJav+NE
3pJ9Tg6vs4d7hRetg8fxLk6osH40VzzQR6ADaQBEehOmf6jInoJ+NVcCWD9z72egDZSz4gsw9Anm
cwErHQY6ovCeHhALHWe8hyQyw/FJeH6HjZzvEBCX1r7r9QJQLJtE2oVMPDqhtqFsj80ZjcdbxHY3
LqbtftZ/xZ95nTPwJe4OGZTBHRx+U1EKIbktkNEIjWGauWNN8A9Oq9VIdxXtvpDRMdcJMK2XMbqg
eM7OUrecUvANbaybPcebBY3E8zYH4JOCvrJ7GMZYcd1Z3qVBO5reM6Lsgg1YzrVsLXojeI7KQ3Xe
Ecvno8zEdw65ITcJlS9e09PQznuEHroBQCn0WodGm8RD3MirRksgGpsbdCNTC3EwA0B1s3XlRSyG
x857uIBQVrTVAZYBLuHvknqXcaa8LUBquLc7SSkpimDEZvMHddtJF7klrssNxjmt4DuoxPUCOHl1
UIa9d+B+Bdv3hws1fP2pNTgVlPZE4zbo43WpXtewmqfiaQj0iYBXC7IWQwuZoeDP3eF813pUot60
UTNxR5MTddF0lyDm20Q3Wz54zvoImwBWzT22sMQ4nH8v3WiVaE30uTiH7T+kR2QN7UPHPixI2iMV
7LiimVAykCJOh9Iq1x7Ny0ByRCaAzmccY0lz7oMUyNzyJjKoZO1tl1NzMA6dE468L0XQ9lshA6cj
lhmMvDbmnTScmCzducga67VCtpnygkssD0fmq7040o1CxLoO7lbkj/H1yKgUgLhgi82aW7jNpQW2
Yl7lVWSeLfhoH5w8361VKZ8xmBWD6VzDqw/mRWiB3QV+UXRovHaPQQo6EzL1MCU/QF3OByBPYBJ5
GA0zMW1QAFBB2QM9f7ucXdK8+96AsXVqrOa+FXCneAvMCoBTYQUZ94eHnlspwOsF5+2eFdyu8l1n
j4Idm0wfX1v9iLLLsqb2LRgdE6DaYkw6YOhlcg4/d2d/5BfCKlh4HZxK5aPsFWZBeOoi6pfObVqj
0NLc6grDd0ji2jlwBKD79IrbVH4lnkNRwpwHR7ockGG2JPiIJv+rFsm6ogXXcfnbAx9OeV12IJ+k
IOwEkj1vOxtdQblDOR+4n7Zzz7zRxKC2ITCBmDwfgwdgSGPlgO8nHk7OEPK6wqUHzwSISELTVJzJ
zAoDvVc0hFImdPIh0CP9n9lAezYAcnwGr1oWb2Xg/E9w8wucXQNtgRwtn687RlZewEWK9lDCQ0e1
k/X5tKCXnXLC42zvAtt5AiVtofRlDjuX7giJYDN+rlp/a9vb0CBj+gv2XHtVWBHyNHpzw9wKCkkL
qGsS8dQtrtLVe/1w1dVQQHyNvV9WoN/Rcb69mdtJrqitML2W0iMUBBLtpQBmLqgSbdLkJuzHYylh
T3fG2pkkkLhTKIHeO2YB+Jf7BScX9SwPgGcGYh+avUDRaMGQ0JUGQs5V7CYTyI+Gxz0dBIfXG/Co
zjx2WUEz9aZ5pvGUzXtjkk17Lb0e3ZXAgDUunZ8Di/ofwWAKuvGJfmDPEv0jarZAF+u+EZxYDoGO
5djZHG3Od06Ldmt/VzWJ0Aga05ZqLiBF/aaaILm+L5pJ4pNumZsBp+2TK2HeCxrZ/Qfuyqa02lFm
O74HLSbED32VijXsDM9kMI/6BFUPdwG86W8KxgjU5b6nEbDO/0LmXcCNqHtOiFqc1tkm+H0Zth6X
wxta3RIluxW9TqLdwdEswhHeYNhM2aWnmgC0kmAnfQ5nh0KbvQuXTPCBAGEzK/rBmir4FSjfGACy
3a+FYI2hAsoq15vz28yXxT7XYBrPr1wg3pdf8tJOgJWeAf6uZ/T4gbehOSEB0sOjnS8jdDiiRx4m
wjsxyYDidj2gqVZ0Gwwx6oc3iDsUZS2QyMWZ340LMKr0oeyStI4fqyGWrcfL8DWHQOP1IrHbjLaU
5nYEtfkuy+MKOJxVu4MfFejxrV10VCc/zSVnUFCqh8VngwcD4vFxfat0qjF1Bf46pp6QQTR+Rk0J
G+aHyLfIDH8a2hXXy+OkWQ8N1YiZiEnzwDMpB6dGUh4YpYLninyTzuBgnh4ChZCDYs+jLPYekpZw
fabuiFzAh3FzgacqorevGgEtRinQv+ydzhWE5GQQd86EwDfHZQpG4kkAwDb6fssxu+ke17GQ/G9c
FoHKKqKxqgsB3MaAPdL5L0foYXX7AV0NyXV0TDNsFiS608biWRTQp8hJP4dUmd6TzwlmR++li6Jt
gnMFWHzybhXvGCbwItBucVrKUe87tKiYmhylk4TBM0lBayCDnoesbPymo+oTuZ+1WIhOriC5dGvS
H5qgOFKNFaSmswp43vEagNWPitu0esAg26uoCnt//qTprS4h2LQhr6OtU1tQkoaP1fiEBsB4Kya4
xa9UrC+ihEl2bOXr1t2jqflxS5OWAQwoPvL+EBcR0PVBtZ/L5gZQavrMCk/MN15G8k4BpaNB+2XM
G9JikOyy1ZLsyqvR8evdQEqW3RwITFp/CGRX3npK15fFHORCIXm9DPFATNBFuCkU1CQEI8K3PEkJ
uI4by/CC50LFHKQMUrRUQgPjiEaCfzSQm/IbzWTIOiVRpeIgIh9WOkuTaqpLOHJvt66Jj/VjjxxV
2n+q4nADuqowbneeBFG9I8fSOCjvOPtUPzodx/vhh3OeSi8kVqbY1Ek2b84rutfAHhOwqU6nLXMm
Ar9iPZX6pXTAtByFB6gAbEXGKmxciWCWweXqHyhXDNg20Vo5V0u+SDa5J4HQJzS/6A0M9IkxFueC
qnaWaWeEG7M8nao+Q4Pw4lwaYiUCN7ynYiHzJky7EwZRr1pway0v1sFjCC6YAZ97lMFZgQmeGoyD
vnS0ZSTd5SNlw9R1patFd1hlguTZhePp2xtICl0seGAJXiRUGqV5T2m71i7Ira044g6/6gtgep/L
lLtt0VKrvLs9QlnvZ0KHpB+aHetGm6FGww+PEmuZ5J23JN7wLkgQfYue0O/D6uIEgBLWkobxXyOD
Oc78ciaEHIaneUCimNN3aCoMhXur0FWFtmsmUmyZvEJlTuorHNx841MghVzyV5AU7C4zujZ80eWe
zXC7bwMUjiiJRtEaMZPZxgX17pqd9qmxvwI48O/0qKdHBzDpAe9cj796xtMDgWvOao3Z7HNrHKf0
dvE33C3va7OJmPkThr7s9gqM1WOIIn7NjqpnBtcUA8K6BozLHmWQzLUk5aC8ZL0tZ86SHGMrV0YP
JS3Zq/W8Zq/5hfOB0DUrRYHNime5ZB1m5epHdGawJuzqGKys6SvZeuZdjnznZJaziwLya+CMDNrg
ZMTKu9aQhUvzw72N2bxAE66CbXfA2XKvmskqELk91rkYH+0dpGZ8r+zRhqQGLGCGG1Tx1wHtEZZE
bTg95b5eWKrmIynMSGTRfDWcHId4oXmwvjg9ttR0KXhVzuzKHema1RO7GeVzmsobXrHx4iHrcBMQ
vWLg8/HCVVWeAHQDiTaKyKchF0HycX1PZmARlme2/nnc5aCmI+ahY8+/WcF0YaIYjp5hbq019ET3
gcxwloBueMN6LFbK72H3cmTUo4KyrcAqlYypznRsagNCSl3MQCP/nJS4VRSvDscteaAnUsWZEhBz
JJljiSIHNeDws+7KNbxm7k+BTyRGHIOUPhyPqewRTtbI4tY/rlFwYGbpUIUQiyUEGdT92Rnko5yS
jx9QKKve1yg1OrfebKfVfBPVgZx4ATHInlO4VNuRP+6ni/nkcSFpUy86z9NJOJ9Q6eNxivkDnTUw
j2LCa5+j0AGmw+DcpmiQtaCTR0sY+ncGZk/1s+GlYu8nM1cR6WMwXQoGk4cv0CtatGv1qTJ82yME
i9bf6GzWCoFymsm/EA04eRznreSkDGH9N1099tYJ8lBR+OfGlemvNaMChTnSgMYicvSwJBLh/vQz
bWDnVYDHGM2t/ADGBc/PhPaoxwhvuct3C+WRp9WsLMEznYo6/fByRfOqngmGGqIvfD5K4sDKf6eJ
ApA8wPLESe/nNWykuUL5jEo3APuElkKyrjWldvU9zgx3NTZAnZfv4wrpyH0gweH4kWgX0P651m2Q
Dtu5r0Sq0kgMm+qCwosUInDsF1PqDnUXBvzl618JIwVBEHtRTOEqgPXsAte+gr2JFGZf2FZ1T69G
gDudwQzq1uEvgJqlPtMs1co5xwuCBsXVC7oLZFuxdR+KbEbfT5WGZ05w8XR/DoLBnj6SNDkjLjPV
wUnidRvPbBTQfqDzJ3fZct5Qq1dEnd+Q9jRwYBL0DjF/s0kqkNI2ROSytCXzRkZaNNj9egVy8Moy
sIy1o5ZTPVZAKr3slraM9Cvw9PPL7uQm7YgaZbjTQUa1oraO8PyuD9kpQYNkdhNb966fsTF/MI3T
LaAU9LUt1wNjwSVJxZNcYWQGtpKu+wgswfS/cqQRCdlY/1G3fa/QjsJAtAxKJCpWtqibPiyyIrlD
J0IupRLgCZsMfWwFUYg77tT533i3V9olvFvUm7CfCdFKSWx6KVcNZa+2C1TQ2/J+uqhDBVQu+uOj
b/zCn+A8RjJ8NQYXlKKkUR9xXpeQZRTbqaQ49Biz3hGYnemUXWbhv/6y/Vv2tf3edHXG//h3vv8F
fAUKyqTDz7/9j3fFL0M7tn+d/l3+7L9+7eq3Xn1t3/9cfx2vf+nZ3/DReunbn6efn31z10zFtP8w
fx32D1/RQJgun89Nym/+o//4L18vn/Lj3n3943e/tGBv5dOyom2+0396+PWP37k+EgP/+tvP13+U
B/jjdz81xfT113/5OP08fR1/93dffx6nP35nheEfEtrBYSD8D+KEDUZ7/Sr/5ETuHyjt03lKWHR+
GBPhGqy88j9+Fzl/gCpPjdlzieB08Ec4svzcif+QyEKH/+yCmKfi/t3T3T17RX97Zf/SzDXIrGYa
//id5z1rCckVHTRxoOZA8oMV7kqI/Q24vZJM00G86mvspBMLzO38Dv0dOl/F8SkIUGP9Gbsz9J2a
HiVK/3Yis883kDSp/SVrBh8RnNbdyuhNwulvvi0TDsOvyZqr8V2FuYG137TlFnRfglIo5reMVXUG
2xhFvvM12tp9/lDlW1T9jCJYl/5ilHaysEDADtHHQqSAfIoo9Z9yx55W8rsqGMqOTTmo67dOtF+C
ELTB/RGgC/pN1riItNVvXqkO2m8H6Xl498OEvhkWosKp5PW5F9GJ34xR5JCt5GEef01xEzr3ryeE
waDG+guCAq8PzJ2L9YQVaVX8tbLTwv0WuPoKUsL1gTQDavbhzvGmuJnn7+g4ezEklLD49WxkI6Fy
CHSdko9ISg443AMmVK1yy7cOzGBWY7PlYGSxem9oajZjeQN9TJQM1Ovq5TF6TjOAyAbcAaorGm5E
KJmWz+8Ru3eMgEAI/YoIPWTL2+yIMuomSgI13Duj2fPyda/ejVzX59TvuiQhSKVfX7eb9zbCDzf+
NQPuTdax2F01/iXHshBo93ou5uJPTQoiabrJc0rF4TeQNM/x5vLYEHzRMwJvHtDpjmRYfjM1smAp
LJus/1fO18jJnIIVUsTPLCQOPu1RSInUQooJVg62KR/L0bYP2kB5AenxG3fyHNPDncDW8mmOiXoU
o+FdvYApLIDeQU3+JU2OJhhetX2HmgU1jAufdadUwlt5eex///Bw6kI/BPafQDzyRRrzNw9/0ctG
dWb41ae+Um73u4MCcHkfDLJj3hUXSWo98JjGZgtQfEjulgJf1vXh5Zu52idlABIQBpeF6hFO46u7
yRISZkwILaiRgxyOtXVdIzYytqd5RSMYNWQUbdzuSQ8iKOx8/ghK6LyDU3OG5qMWdvugHdwPNa4V
45eXb/N5yuqjTuPZKKnBJoqI4bQjn4/ZvKbxYPfH9kWPCVTfpCmmOk/bpR2O75BQkfUwCps6m78x
WHKV36AygGMgkeMTVtiPfCgqV1F/3Q9Ih2gUvI4aa0C5MKrryPusPJKXH/j3l/Jt0FAuTqUAvKLr
B4bUX+8zsPLXZlEoe3wzQhUvX+p3UwBMA/ZWiLeDcfBAuF0Nbty7Ix5tYfuFY7nFznQmJgPfXHZb
3Ni8NGA3G7MZnbwalDb7xNBh8x28juHrIGQHfMy77GfIjOKZURzV8ghEsGvrb2wozvXKQSMCJqgb
Qkll3qJh+3wWbGCTuqQ5vC8U16UreZ4wDJ+/7w8klZrT2u89N2dFtRzeW9wT0NCLy2OHJtl16cOI
kO05O9UcQvfHOsfgER23xA5RsZuRF6o+hEjDHzXsvWSD6upa5x2BQ6AMFZ9aFilM938q+ICXSWDG
IjYLtRlgSXwdBuFXofq0Wct7JVQfF1WAbsTX+4fdimf/7ctv+nmwM9cLbNa8/Ify7tVajzaOrShN
zO+1ZLRleY8zXlsWAZ2fsch+/ueuF0GqRH07YAcGxuRcTyxvTR2nWYozEnkZSJXGiG0hpY3wvzbE
Xr6g8xwuyYZGZTqBwMY6lYNYcLWxEMAanOmX7rOKhdGYE3ma1JQ6HSAHZADpbjbZiloq7czLrqMF
tm2l341ChEFXvHxz/vVmj1Y/OStITmhust9crbNSNOjTvO0+Y5yOgtGdN5ax/w6fEkQLvZHaGyWB
dKmOT3W+7XuEyfGw9vmJvGANP+DskVKFq/E6/4T8CwqMMSqbrLvNX+oqeVXOgcz3dvQS1uSOtjra
kMMZVUYA7yJoaWPCwLQumM7M+BaPNREt5LxyfIrrbWMxUJbZ+TIedobIZBeM3ngfRrMshnITGc7b
/nL5JM4uZlYtmEzSI3JM7rywGkkhpy6oS/RdwgZVyGQZnIUzV3tMbwfAeBgaYOHl1icrS+vtdeaT
g/1ngz2u/2kBXyEFnzgjHV36piWTfXn4n09+mRoeVHKmJBEcJv2FCvybbddLd9Tak676LOiBIbvZ
EObtxpu1PbfVg2eU6F6+4vWm5VLZ4OhJegc+Ehrp1WQcB3vMV6Qp/1Mb2+vsS/tTPaMM1iA9eweT
kBo5dLd3EZH6m2WOa31MsmCURmnhg6y2XZ/D1POweXgLWNMkrD/VgFcm72Zq58D62va5eKrm5dg4
mGtEbfH9MqKJAnkuD1ooA/HkLu0NxMEVo8fJzfrHCnLmx82jm7DfjKuD+ijcWxsXiYAewCOTyM5v
zrafFogUpYQ8omduMw/bJScJfUihWEkoXSCd/sklLex2RM4GD+XYlwf+eqOg4xmL6i9PzdN6HB2f
P/HfVH/hjtoczxBncTnrUFP8L9Xf3EEPq8cXIvH4QitcZq8VdjKlvfm8uulHFfx16bPWw+uicwWb
okq/6CuKGfOBrg2rLqVkxoSlF16zOiNH9IRffqQrmKUQccFLcYKloBF7DgWr54/Uew3qWFQaf4qn
3GNtTV0mNzABZpOle1nHaBJQib3H2UOWOLFSQsrQ9ezcFnpI+6OzBfIjzALG8ufqIiyrasTQZxDj
TfuN3ypw5+FjjP1vaUWDd9/Fw+KNp50NmMf9xqNdHUZ4NAqSPgwAh73C51jw/NH+LxLFBxCr9pfJ
jku3uUHxtj8+qXLu/7g4cUEjjSDHUfxvusQTgE9R9DWSxDnNGL4z4/OPKBJfRaeY/IskPELdhOoE
qjpXa9RZ0WrdgROhkBUJL9Wcgtw83pbyRAEiz5pvZFPu1XYkl4RXgPAV25JNInK1HV1rIE87DTCQ
w8eEsq1/7vw2uEtXq0WuKay8nRXwTPF4HZA++x54doxB5X9D8NioaWNmI/IiaMQmywe7vVAWgrJk
b/qHlI0RSWdO/S2VZzkh5hZ4BAnH8Ukrrw/AwApGC/W2/UdQJWGFhM5cet0pXe30/D5EG33Y71Ao
CDvM01w3Oec3w9AX/Ru7mr0tuOlIH61HNIYs/x0Yo8g79Wu7Zb/YRWW/RjvcD2/LiDbur/65OoYP
dRvW9E8BEq5/8hfH3g7cx5sk6E49Cfk4369ASpf3qFqmeJeHtV07b1EhcpLbphkS53TepnlIb9oN
8N75Jm+Wwd9OGYJn7PTLMaw7SuwWdd/zfeI6s/8xRKYTuyZ7c1DxeNVh/OSkJMSYgj7AmiPVPQFi
WQ+sdnKmYvewYWI13/SQJsL7JYFFexvU1nb8uIatW3ya/SpLbz1/ch3Irz5ABuj/05jcJoD9Siri
4Poj18Pro7VX7HSSxrZfOdhJufdgguKcunrZ1v5PO1rIpfVT0iIk+OM2bd70zhpBZn1gx4jmX4Mh
DIefjmjJmvYGzR4nH39ItqMqX6UFRbD7o/Xjur3BO8qjXY3t3NjHXxx6682vudu1ywZsYdr7r3jh
rKt9Kqt1dM6vp7QB8XHLcRHiwytwDCWS1E5kleWrJezcscq/5nHjTYzy9oLnatP4XRc9zEla5NXb
52arK6DNorhPKc7PwYe0ATHyEJ79PIvRLoGvVCLbfYhK7t+1XF0ByWF4vxawudoTivg+AXbpAF38
pbXmMBgfmByrlZ5WDLApQ6nX6rTTJkcIkcMjX5BHO0OB+R8xWc28gE3l5y3dsd05nYM8CbI/7WsH
8ul7ATCv1X1UepbbPZTznsTLn57bqkbDFOTlpyhLU+t49P1qpG5u7T168u9g9vR58Gh56RBVuH1C
A6m+x07xHKd36xlZfbhzpgWj1fd9gbTp3v1dp1QXDTsC5d+xSHXj+SIHpYx37p+U5abvQYi6t75p
1Xa50+BYqNYWSug1MjrPnVKVEnj8HY9U1Tb9n3RHXcHARP0J/gqsIKDi/tzPn/6/cUftohxe/R2t
btHuSY9ReNL/W76oDmahy5eyCLtiePXcHRXH0KywP1LRyFpYTMYdVTV+KWXMQ/bQOMmeBjfY+i4C
XKvnFu2o/54tau4WnNFOXduEq4MzQCzljv91W1SnGEauI741F5HjXBrPhnpkHevFVwbcjB/dAcfk
gP0AuQSs56tMCp8QvYq5pWtnABD/pDuq9j+/bYma956Tea/LcY+c6VFpwv+ACerZWDYt2JGG9k9g
EM+4Hna9NTXFyTba8IrHMhqAFRUYCnwAQhCCUd3Nmf2Vn5X7HJ7j+5JkcdvfeMlYAWaY/Nau61OV
+EhS3qQj2jUPTuII/wUHbaHwGEB43c/gIfZL8SWw4SdZNzQ2ATaoLO86nFEgdPKsXT6FTSrahFfW
qF7vEmHiIa/m+O6fdkidc9CZ3S+7P0IFw/0zZzheed6IVoU6pI4pnnzHJ3Q32nX6qffWfA1fT+bR
tyQbOVV63XZgGgo0ZB2DO4VLK0UH21GZNRQABUxjKooKxFa8jIL+Fc7SGzoJ2FGgfonvAlRGQBdd
hPqd0nZCnAgJvkswA57XIsvhBILrnIV+6j6oOKAivFKO5RSXoeeWgE2QKQE8UiPE1jan/1enVRcg
Ni2bc4VLVPD4bXPVqIRQP/3wd11VKV1QvbqJQFkJbN0TdIZyVg7LFxC4wtzrIJXp9sQSupSOzhd0
lVfYoggMcQc48w8lalfA7kimqVIbbhZu1KDVrRU43/5KHRPSrkFo517LcVVBvkotIKnbtfscJnve
O1+MCBFAR6TB7323HSfrr2vhnLf0jh3NqwJRZy9764TodzR8osS7ltOPmHeeswyHh/3/cHdevXEj
3db+RXzBHG5JdrfUylaw5RvCcmAsshiK6defh5YGnyXPJ+E9lwcYDDBBbopNVu3ae61nWdn8afKo
bdofwYjs0HzsE5/WxAGgzCiCSDPXvnxYbWWi/lbkBs4c9g2joab0vFcRriP/kuTJ0MO+Z8/xy2/y
/F2+OFAc5zch9LndVxFBwOMWLOkm3XiJMHhRD9a/hzx4XrcXGnnGZnnHMLH9j4lFd0LsXqhPebUx
kk5SqsXkEruqIXcFLypdPG7T9l9eHtlnOHXg0LxnUvTbDyZJmSY8sJuXzvJCAwawfw3hNp2acNLJ
1f76AvFHd7YJ51Jt3dqBL8K8Z+9C+9sc8kwHpRG8eRPplfKjLx/07EN4ccX8/pXqnCDMEvyJVPZN
+bxglc+Nxhcjj1a1WxOy79zOtmORirZJCAre3BkvqrWBGCAepRftFLxsvA4v6lv1+4UDKQ2FI/wn
v+NZyreRtKlvvGQluTZ0sr4WcKqLanNJPd8QGuvbolf67mbms3tDK86y56Ta90/0bw709HKYqNk6
8/cAy+RffXo46RSnpTRvX3JJvDTFBtpNDcts+wz9rYCVchdeFNTvf/x2cP3jbLd9PJpKF32R4xh8
/puDbafmRpt6j1bV89JY0APmm31Wfr//UW8mErxNOt10PouWFX9/myM0+UhgQE3Xty/PiF7iv4la
mdj21Ysn7UV0p367iUhr2TxCL4vj+9fyuoXg6FtyA3JLfnkGVDzn5us2SjJaJu3bIr19pivnzwar
vse9u1sbkh3rDxo3f38g1jwaB66/gRsYZrz+QEjgOuJm/R//RVoSe376bP15ebPf/wXfhAZuvyG9
WxRrDCkAa8JDeP2Bc1XYaT1U7qeXFeMF2Lu41uI4+9nGOb4vZLJ2N2oiuSZ+5ivbVsfwQevXTZf4
wRW9ftK5IiRs8BmYoAcIjZjovr6iBXHf5C1W+wlh+/ZSvRDw52f5dO6PObtk9gwEfnE/ts/4ZEKC
WrVGY8vJfo92v3Hg7bO0LIglZcuLzPuRGJf5YnGe/Afc/KJC/OCXeD00YbqIQiNgGM+QBk0Lr8zr
X6LWhwzRtwy+P6uFn+/Xi++qg8lonoyTP9Yi0gUwdS+ETd6zxlWrbvTRYNWzd4/Pl/Xrg+t6loj8
vzfZoTnFCBT1GuI8BAP+24GfrjMIgLTSHzpi2bN+ZzrzppJQum2q5le/1gzaCchI5dQHoUgQNbrh
QMqpIc7YHpAGpVFTSloN56YNM0O/FomTps3JgqnPaS6TOS+NeYkSkxnHYw8mn7NqV5h23e5EpVZz
AJClu72I/c6ht3NuYUXBMxY8D5BKF1SJdZXUwmjni5J06wApjxrd3ADuViAhOaGy9XIRV1qxJTK9
7Iiexo9lZC1M22aVVs1mKnd/W+aea9vy992cMrGpXiEVbPvONEKv1fCTbC69Gj0dcRAWu4Z3afXV
NuPSnjfTlyAkXfrGmoclfHjCGuq+C+o8dnGTFWTFvpyxn0W5Lzvn7wkdo5zNsL22/rZr4MCjlUG/
qHTNnfyd8CDKeduadNrjeRqR87fRRkmMr4rq3iL0IrAu3WUIbHlauLqGU8Hpx47G3ku+ZYCI0Grj
rFSCPh9Hfo+2Nhkw4L+TSFNNSjxf2FqomszroA2kN+3S1rWd9s5ZCHto7mhwbyMUig7Sfy+boadr
fZeT8WinMc85Mod91rWGUUTCoMr5tSCX7/2j486T+dVwsNr5l/RpEnlTB0FRmjvyijUd/C7z0nmI
kJgxDd/VzcJ3G0/4JLolJJeX9lJELWA4pCrbSzKdl0E/9Ctm9GLKjyB7/I5BHJnp/cHWq2F6cnVR
Llmc2FR4dSi8WnRfYG/5mvon4Oil5muZaKfuuS9YKIp9nVVIJf8J5iJbbitMlmevzfOjUf0uP2oP
FzwlXIBSR4Zjp7uCiIs+bTwuwyxLMwQ5PAZ3CJkb/1bWARpXkTupE2ZpOt06S+4U8UJK+iG3R+sk
1631FJ/BeMLRufnkdSCucN5ml14+VDpNyrG7S3ioT+zUafqQty97KjpZfUn1vInnwECvCgefSGha
a9Fk1s4ZGXlfG8xSYT1J99ydchl7dpbx7epatyeJw94VTa6u1qIa9B1l4LDzF90i9KB3xfdMqls0
nZLUGy09E2NP+HlPzxOBDAyRRgUovSf/xpNZy2Re5j/yvk3iKpNwKe26jp0kaI/EPIj9ktSMHWvp
2FueAoHedlF7+4k/8tTXluwJc4U6mETt/iCVvjqUs1Gt4C8LZ0+KWXMrbZrBIGD0tg81q0nvCd32
v8HJcTg7KnE3+Wa+081BP0KRyHKCfzTr3AaTvO+IKP3ZF15yo2sEsXPitIIfBpmHFNCGND4Bi8zy
vVxqbWf0YvjUj/aAoRDPfL/M6mj13VKGDnpfEh+CJPO/5CN+tlNG3up7b5IOv2uUHKirc5Et4Wg5
/k9/cDwRa4nWHUVAWFZsY4m6mUdyvB2Gw2dOPxhtlPhZ800venk+e7Z+1rvG9oQmzja0S8fpOFM/
XejErJ/SbtWOeWllpDmw+v0wpsmqw3X1DaJF0Ds+IkCefrYkUEdmbqzf+r5oTEbYElnjuvY8uVkl
qxAlV6cIaJvK+eiqtE1D3ZD55WJ4LMTU8NE4WZV1tH2dDBhsqN3elMokDFLMYWE5D860fNdVklza
Bq/P2Ctyir1Wz8N0FiNGz6WxdjYmu0uZ2d3jImeKAJ15atqHqmToXpLfid0/1JRlf2MU2oSWWdWH
Bu9RaOpiuJmJKr0h4WAoo3IY0nsi2Nsv3SyFGbazmqPE6GQRFlwfIz7fTUpevDkjKGP2p+vA7LNq
S/MtvhVCkotDMOpDTRpLKOVo3AR0rU+l2fmR6vTkaAM1/tZjgjsvVqMb6XPbig8l7SlREAiXVKXn
ro+5I6yMMviGkVXXY5+CoCDarm+vXaiYexZ6140CSE4ng9Fk1yhtEBNgnbw3m1oeRjUbh0KO7jcS
9O4nctruV2gB/qGV9kKQmEh/LtyQQzZ4SgEr05fboQucJOzslhEhOSOhno3jKe5LeWgpfIwwhT53
HxBD8EQ8jHUHOqR5guO6/iTmCNMTNv8Lm0n2gfgHE+dVO9xS0JDGB5PtXOv68uuqN/XBqowExRic
qsts0W32spkVSQc6BtXBKd0Tj0lAJKGGHIAidfdoziyufzSPhl5b+8K1+kfCINrroM66E2Opglsh
uvUs7TFdzx5LLucukV/ixxyO2KKn67pPurvO9+3vVjmyOJDKMl7ai+DloYlyZVgDvLzOm07zabaa
sFF+fUhcYROS46L85JwdnK5al5wnSdbdkLaY3fvwPh7b1R/u2PDTE14272I1tAEVkpvvqyBxzhmp
Ghb+x6CK/RWhPM97V++BXzbXwKyya0xSso2QIuj7DjDxoxyUnXKaW9fzLrDVGVIjvFGaaO4AdQaC
NVvMO4sEwRODIVM0Qsa78sfUOmSq035AGUQbd7449poH0UJIEWBAT0nh++elY40QOvSmK6sBFqBM
zid469eBMqpLzV7qh2rovvEzKdFDufHQCyqYQnnF5RwUyEIdMu6PARCFrwpX5xRV2aRfoC1R97k5
ju0hI9vHjoLM8M5sQiT9faCLOjiKzJcxg0N7DUfSX2M/WIUXIvMPxlBYSX3ZaAyYz0gU87jXrj4N
3XkbjEwWjLkzplMSFMWVNdvajVcHuYzwjGaEuQey+1Sk+Sh2hKou2ZnAzpjHWlc7y4FUDkM7eGCr
1k+LX3cqO2ylhx4H7dxUTclda6a0PJYoQbsqMjwql8gRKhkvOJ4XfWQpI72bPBBQUaNX7jkywsSI
J4MS8Wzg5Dc8wLdf/Y51pJODQ1iPDiskTU5GMqSOjjnrdXG3WktijuEyt3qgjiaLnX7q27SgD221
AD3CQuqo20BLywLJR1oFXdhpSVqVkWYH821OvJkbmpld3TSLoa2HiZNNEZG3bernU1DMdWR2re5d
eBXLaYzEbY0bWinHwhzyCEh8edwyBvriqlo0F2QQt7/WZxHTGBDlJguS2ISvBlKj/Y0kVriVGdaK
7Otd4zNPi5SxmERQAl3OzsuMcSAwOfqKOHtJlAoh6q23CIKK8qTObafZpUymLsocDUaMoWU+IebF
8GPX1zOM927RGadl2knmX8rxFkLjGLe6gzlcak4wAzQrErsPPbu06P3QJHowpNb9GDGwxFYnF/PQ
NIlhYZbJTGVGlHCZBgGEOKDenUIvcz8tmt14FGbKX/IqYiUd+B8aXcvn/DuLUOu7u0xWErpSa8zB
rhQgj7OdxCXvOBcGyVLqnumhSE6K1re/peP4dV2z9D7N5FfQI04RckwQt9PkFTtY3N1BZ/PQWSTc
7pbkjPWsWszqsrNytR8BtUSylasMPYSWMhTCEbddXblx17lLqPzcZn0dB/Ed0tu69xp4e5glkwtZ
sq9ExtxPbbyy2djXQZ9Ztx6KlS7OR5oLPA88MCECrOkHRvjyRrYkcu96z0vPiZxtblXbD+lOzemY
nNKmTL1QI8H0FHJfG5sYO/dlmziI73RjFwxZc1YmjnZhlrN9ZkpCU5q0Z1oacCyKTTMZvwHJVYd1
Ns0q1D024VgPxrbfScNtLhGsTcOp7KYkDPpJn6O2TIvIdnvQqIEhElwNKPDUae/yy+0Wuqq3K1zV
HwmD1vZQMNCJO17KKVyXsrtkl2fzx1BZxXlBfcElJJ/YdfK98gI3UpiEHiDyGF9p9cx7rPcBWUWB
2EMdKq61Qu+iUbjZF+hi91WB9Cjl4Lb3zKR4bCZzaELHappHSwdYpEwrmUOi0Qo/yunGHTe2d1Sm
Oi3VfB4jRLjWVcGx5DhORv69zCzvKyQL40tpWNP5yKgwdmTbnFr0KB8geJjltqaRxWYVenvhJolF
3criuD2E9ne73NLkllpsu/Zs9k/N6Gv5rnLznB0Kjp97Wjs1OJu+y+chpo/f0J3ypsKIyKrTcW1p
eeFcVBLKRpZlQ4nhl2sIi8rL/Kjkz43w4PNMQGhwToWrTC/mCA/3glqrTI9CNsNnyakti0ppWfpX
Nt6pCwMN2NOJNpRuPMgCzFHrmPfboBpE1FiqMF80eeU4c/GkIOaxPXDy3DcKS0DYJI513jt+dyYX
VAxhl1LSnM+9kk+lOcx5RCAVhW0+VvP3YcAafuCl5JymJG2zH3gg+Y/wc8ddXYzWka5oSoB4Pq8U
8+gUf+IPHJO98LLhzF44v4Ua5Qig56TVnJ3WClS7+jo6D0NfVY/QMOeImNo+roA265dq8oxbxjl+
gAyFGi50hymrDhNF1ZHVr57AyWVZQSkXUHoiG9CaSyubDNKok036Bf/FkbtOjjgfkEDwEEUE62a4
6MZ9ikagDUQZFSVFWrfbjrFEsC1tblJTW3Wyfql7VZdXZmNMfcypAtRAyMML4yvqDJVWxODqIIjs
K1dZiR+WRptb3yp0ilodjZo/FzCKurqc9Ysya9wmiDhtz7YM1UrgoYo8NlxniTMGJn4VKvTY9hLX
45KIEkd9Qksn6hUHMHldjajWrXBGqB2ofadkm39J0xLISjzxqtC3xyVkkZI4zm3jDvuUWq0+VZnS
xC9C7ufR2WUIbgCZOi3DndtEN2n2HyTKnAFy1WJrenFdKAkV8QF8SZ+rAuksTWcg0x2//k+hATPk
Pvak6sWBzGbni9M5Znb7TGfR5NbhHqpg68WZRgISgOyNTRZBwMHWeOc9XL0fKdQrgmcR8hLXe9oa
fZA/KpK6NdIxfQT4sLTKpJhctgiW4+FBZTQU/POBgnK+1ItAX2wwdb1qy8PKOIVviy2vaIonCwfm
KGISbMk6PcOsbGorGCLG+n2EysISya01ODJ3dy7KyNw66kq1S4PwJR+ocTg7pPBMwFiyHmtDQ6Jd
lV6YqIco3WXAirkEOUWUbx/ywRPLImn7jbTuciA4nSLBaJfWM4jVnZyQeAT0DurGP18p/fxdolVu
wthlTAJCIA27Deydt6yWfWDQJB6kr6p7DfL3EJoNprjQJrVr3SFvED/0uqTKQr+edeWucfsgi3Ez
1wTArWbLtGt11fJbJ38M8nS8RiM+ntB4zM8bPbGi0nTVRWEsC8AAS6AOGgMmjzjZbotgnrxTnPir
F1q1XOxwrqeyPnSY7OFq+wCCMA2N5Q+56knJ0mqLJHTZR1VMiPLyqc+1aaZA0KodFSgnxKSQjnPo
XHsQAMH8+Yko+HmRIViB1vjkg6Zw4imv6++dHnhd2BcjR4N61UZOIx3hPzvKia4/UZlTjj9Sbd46
LlTUZh0RvZNiNE/GRNsLhT78XpltUEeJbsMAtRe9PzH6xnusxsqmYenBaW8iGoq5wwnVW/pLQXiC
ik3dUcMXZu0EPCKaRNYVISJoRwokw0TIQnPrEriYLUK7pQ6/mJnwzOFkld4ORnd11NK+QTutCIEk
k+FSCrQC5qJ6khCdgOxybcgOOA/4Yjxg+qGFmOuE0J62iBQNs6e1GDuejSS4UZpOxmu2yr1ryPl6
4cuO7SDxAyKhm+mnhlqG5mEh03ONZbj/yuFyym68QnRb1WWZ+QkVjHsEWOTkTyyR1nKwRrv4RHRq
cjELLf2RdgZ33p/WGX1UouiMrGs+gxDVp3vgAep66qqMXwF7HeNITzSspp4A91I6wSeD9qEXB0Uz
nRo0LfJ4QozxebJs/I0OPIKT2i4K9HCdc9smabMfzFr/4na9QeojwresqzYbbr8uIMqd5RKvp5nH
wBFGzGYVqXxhkI/BeJrC1GaZB8zTh2kyzVxuUDH16zgNR7KGr79nJMFgT7cwPMYp7CaWXszydGEG
6aFnI9SupSiol/7CUlKdp6Yx+rHupNLbFygK7qbZG5C5DjW/pShd76vdZX4aQkOxr2A6U/H2JOTU
ITX1kodumQTYW0rwVzEbekG0Ju2S61XQAQhXV0p3R3RrscSWLvLd2s78TOqg30pnXUCRt+Svqc/q
nZn0czQNzvLosVqMZ/NQdzKu2tH/1MP9U3yc47QcCHK6QMJsLqwqMc/8rCq9p0BLFhF2RhKcafD8
nhbY+seZ4PdrxGFFZOS++Q1fi4JG3cOSinKnL4gimex8idW0FP3GZxqSncpysi6h9GAfLwxzcfaD
OzkPWpLJ+ZLOVWnRDGgAaFdSGI95wIg9FNLoLpsk6PWdNzkLh4LAREbfJroDH9AosrvSmbspYt+k
qqM+jzOLqNjtvrlXkzXRhrbMJrn0K2F9aRd4IuGoqkerF82XDvxNmOU1vUckfJEP3pVHvuoeU23S
U2qrWYs0Ko+LTmHQ6em7fK1TpZ12BS81oObSuxrU0BwHp8Vc0HnlOX0B70RLdP+BjnHu8Rik7pM0
V2s323r/aewW87SEAmWCOiY0mGpNFwRT1LR4vL73T3orq914DTQKJ5EH86F2zLH6hIs3jzuaW5AU
e9uOWssh0pd0sbN6aeC+FJPxBXDR/CVIBsKCe6Vj6XTKnfCr5Be2XD0G3zncwzFqD4adGE9NOpZf
dH7ECbWZG4fG/AsmD/9iZqp8kJCiwtlX31DEDtdS6Qu8jKHRDd6D9TpItZKKxrDFgf2gqzlm9LAd
PdQQ/PT51Jrd54JmR+zPHFRavM4rlE6jedD8yr4tMssWkd1wG6WsDRxASPtKy/q+KLr/3a6U9IO6
JzaoUowxQ1dsM1840TYCI7/dN7ZzNRSECc87SJ+bEKxr8WUzlSbfU7TMGphwNVf2smzBoC9YQavR
5yE71VUmipWodvwm90k+T853sBxNeVI0voACltgQFLTYHx176li8StC2eO2Q7xSBkbt6PA6tsVI2
+vqSR13pEix2qpaZLmbo4rTe2zbZt1/duh5YVFpZVjNcczhyuhNT5zEYj7XFTeFJtzaiHvSvlPHF
fl7waPPSoJu2HSw0mWx+6lC6vT5mCkpi2q6X01JmWfgCgJcpjAcz4hlsGYOkRbrq7c1o+QNHmJyc
6q57aPwpGYsYWQgpDXs8KvlcXBZF06sm7idg88ZOl5bq2ydVrqOxhPwpMl8YJNqUZOEqM1aGkwSf
dREAw1q238R2U0jHh4wsP6/9rLR0NR3Sr/yS/1Y1cFfmM23oOTCfFUufVG4066Tgjfv3x3OvR59M
DRnt64wONycv/q7N8P+njZVWmU9ORlr/fCGqjrkjOfa88At7L7MVWqORKFeU9XnBiO6DC3g9ft4u
gAkw5t2AkTf64g0C8OcFQJPD9ELuzo/yGYIrniUFogw2lpHWMBd7Hvf+V6iGu0bw11sEwytqw/85
msOmnv//wxwO3c+fdfWt/vEnyGH7kReOg2H8xzZMG585ggys35tR/5njoMFx8Jg60zQnAgDDzubX
ewE5+NZ/HJxLtBj8zer5m/7wwnJwgv94Pn5JnH4I+S3P+W9QDq8VHI4J1BtSyPbnbIIV461YhKMQ
Q3ynmC5o9beK2TLKFV6xQeWexKqVWpp/zg7SwJKs+slPTnF0ue1D4o9CXv5x2/4FmPBX1qnBI426
gcvQEVrhB3n9RHsOPX5c+8ZFa6auWeywu2d0sgElaPeD8KSLIZ5pNyUXWfaqOqRLOxaf82r272gJ
MWQKgO41p5ofaMsBtZfl3/QahtwPbNB/3TJkGLjmMe9jRcI6/+bFG0kjTWbHqi40U6/S0CCbmnI4
qK3pcwNMe4lBUKTFYerMlOMmx5Qu7vvObz6/f7v+7TLo2PHN4aHlhr25Wxaa8mX2q+pCkE1YP+EB
H7O9aYkCA5dwGw8X58AaHHd1KoOzQh+r4ZgOc+M/vX8db2UpJiY/rNMmy5BuO1zLm/uRFAOSAcrT
oyDTNTOObjOUA20Ihtz6mcxZnu+GvJzw0bSLRsO1zkrm46abRHNS68sHJt9/uxyf52iLMzXp7rzl
XjC4pV4uLO/IAMurb1RqMSBsaMQvIIeI9K3tPS6/Mp3pCHkItWJntAGAoJXOm/Km6QtrOXn/Dm03
4A8ZB6Y1g2/JJd8DF6TOi/b6ucY9lE9zYuGfcHs693GTtl16KIbUEQwe0sKT8z/21AAba/HLGbrN
Wf7+VZivPT8OwudNHwVqCsUT4Y9vX6/B0tbO1I31FLJkVidfMbb1eXfu6H1AwZ0lGsgAJoKtXeaX
dLlXNAmZTSfDDhfXI9MuLNXUFr90GyhgRL1XwD+YNK1pTFo5DIOWHWbuZTlLB09zv2Xz7BNg4zuG
w3yW7MTNPm+Nm8spQMD3LRmpeGBeyBSz7fu/6dtHgHMZmdGUnaiyHBw8b39TvECB6Bjv7xN4OPS4
PFGNC+1Lpy+5StGjra+iNW3H7b9RvjDWVe0AH5l2KEoRjTFDN3zoYXzzGGwSHr4CE3oDCi5sV+wD
f27Y9AJzwgBN0raGYijJixhaedSMNcU2nKXu5YwYkdN1mmnMKmnXpB+9Ga8rBocLCOhBoXzHa2ix
gr1ZMZwpmTw65t3e0FpjuCCSifkHvRrnh21OenWRWUU/XMOg5F975Tw8ZGkp9bCvq8I5RUijpvO0
F7k8YKqr0JdVOLkeV7Tma/T+F7gprv54YZDw4Q43kKvwAtu8MtvS94dX2SNdsumThS6d1Fx/b/Sl
yRygzfr+AgdvdVtvTdAPXtK/Hhp0g+itqOUIgghc/POvP3SorFnzpkztVbPq/uWor7l7j2dXc64w
zUzrnhvQpLcjXIL2xIPrW120ncMIZzBFYpsfvK1vPLybjJHlFF0a82UQUHi2X18OYa4TqPCq36OG
D65QH43GThl5IU5XZpxsfnM23rhy7boT3HgGdMBC3Yii692IpMj1cRIcPH8GWuFemL1eaTvbZaaO
K7a07DCbpMUpFdpIHdG+GLT/bm/aLt4wgcqZATpYQARb8fzHF4jx1p4gsHV7Emj8ESHwzKA8GqBm
HvBKD+bDurjrfMUoN29+TWPXDKFd+s7P9x+j32/U6+cIUgauX2oodGHAU15fhj0gS215z/f5bObH
ubSMTRlp+hFqrzYVYZ7SPN9VCJvkeYXLLj1zwCt3cTAn83wQLemTv6oOolvz0Qr19lXkBjk6lR1X
53AstN6sBVuofWEGLl1S0xnVEWvK5EUp3TAVM6STHNAcLG6Hqs1qBBJJptqYpJg83aMBrbw7224S
RuECQu5t1VSlczVDeiiveLJF/0EE/e9reXMXWbA46VBuEmz0dkNVeAsWejVqL3tP3KOaYIq4VAyy
wszoZXkUhqFi+nOuoYjVnADZY49IT1CxtMZn1KECwUpi0bfIxDTtlx5ArDcZivZoYnACt9u15pRf
aP3pQCjGN/j3+XychUQh5+ltsMOOoRAEOKN7zOGVodMfJdlKF4HpYf0Iuzltbz0LzGroSptPwHnK
TxmQBYYPgB7b8/LmTqDs3o5e/I2Xclvh/3isU+oXmptgzWZjXfIbva+mIkRC0DrXFl9ee5qvTn6O
YlDcv/8k/+sH+w4nBMv1qba2rf2PD0YfmIpxtNR+qEkxAXLYtwcEyWm2R3DQKnQ1wEcp0MkTuHr/
k99UmdubDOKARxWhCypvd3uQ//hkrzYJs11ZFUW2OvMtBBzvczB34ucq0MM8ekhBzXiYZWnEgq14
jZh+VeUHr8u//PqUK2i7YViwG7yVGTdWlZLQNw17LCJtv4cmaihos0bRRBKZ93QjgWnGpVXi+Xj/
1/+3T96E9NtOpHPv32yZRjvLyfflsDcsQ7n7dkwEjSze6SinfZE24eDTXEcdGnQf7UevZcm/NwAO
eND8HHZAnQ9/fedJDVP1vAT93nOUoI/m9vN2/jHIAZRKHJBeF0a8wpFo9qnhJdWhHzW3jtgsk/6s
0fG3/y/uBRgN5Mi27VLSvilji76Ros7oY0jm7s556QfyZ+WL4Lw1NU3+HLvZPa7+nKkPvv23dRMA
EYTZm1ed4Y73FyYIMJ0uQc32e0SMkx8vc+3fdXT+79DfIRorJ8YIUZeazRqmytWK3fuPwNtjKa/A
xr2iLuAFMKkn37z1+YoH0Vxlvy8X5neKXmo77sbSy70YGk0Zga+lHxUWpnSWqAXme4X2pzzDqrZO
R4t16GocMKGHSdl2PZCMfnT371/i30/pdnts/vIRc5lvr1CRHEnaasYV5vmCERz17vJlnQ3tNAho
0X3RYCnnse+P3Qdfzb/dG47qNMI81gc6GG+eCRvzvwqWtdtLa2rvVMogMi54mRLkOMKtYvKC5s9l
MFiMhYvKPVOBW5+7IEVvdOGuCr0qoSHZuYOj55upxsT/YPP6l6pusydsV0a9y/n0zUYrASmv9pQQ
35ev5ffRyooudJa6nMiCFLrLiMAsHnO++E/WYhSnVerXpI8bYm0/uFV/L6TBdhbxDIAsXM7bXdQc
UOBJwGH7FEeMxrMs/BwgUGNqp/CTjTxeJmQeTdgW/SSPqZkw8rP11Pr0/qPyhna2LStUlDAfOIdu
T8vbZSWQxeK0gQbkiSm9iNtSWeuuGKsESVYgmBB5fTI+NUh/ENLoY/LIyEdL9ktV1Rfl7K3FgWe+
vp+E4amPlrzty3i9v9JOdQG/wTzdeppvlrysEaoVzkosPZYNa5eNfnWu6Ut32ep6ekZpIe4VbvB7
rfEXGTva0Jk0jJ36AAJf/Ozylnb4B7frr8WHAxN4FmcLjcJ887YMn/WxQVHL7fKn3urCqW+6e4ZA
dhU7hpXCq54ZeSu0LU/+VM0XCQFNVQR6jON7jQTJp4QbuH0ji3MbNTNuiNCui2U3lE1GZIQQ+l4p
M0g+uu6/dg82ShdYIN808qC/YFvmsjJC1txqb0+utIrYE5PI75/TK1lLF+/TAA5t/jFYaV1+Q4eJ
MLPGRNs9OqUxaKT7WRss6IO7+fdVUYcjxHMwTWHceds6s2UtNcsV+b4ned2Dek7UKOdszWz9/MpM
cBEdleo1jd19oS58qBqAGJ/WSSWus2MQuxbDfma60dy+f2Hmtk69evJoqLLT6qzvAZDcty2a2s3W
ETl4soMA2IEysjjR0fm0GE8hRp09RjHodX8T/kaPWMlvNVQyugfPkCB0PvyrQpd0NIpSLy/5udk5
kcbgDOfkkU72cWHw1Tlhos3FfGIHfaH/wDjY8lFIdzZL9fu/0F87gg+bFxgJljHPBRj4Zs8CZZ7T
vNWD3erzx++xGugNUxHMADs0bF3ewIRDExYpFJ/12fufDd7r9d20uYfwxmyePYNHj937demSmB2s
wkAU5De1cxFcQX5buVnBxFS5DQvOWA1GDS2YxvkrrmHbG09LtgOk6cta1FduO7nD4/S7Z1RYPT0n
tCQImkJDZRvDTeUVLJgIhCpR4ye6HNJZHXQHC5Y8MUvW7ocZmH/xy/KQctylerM6j0XLfowG0Rrd
W1wUuOW5AJ0YYPJ2OYolt2IdCUgAYZzW64O18AlNjCXC5qvp1yJIgp0omk7n5S4H/tiotLsNiZQz
Z97sSaLRoVLBxyFJ4qCjEeXHl6UraW6xXm4fjcA55598Yn8Aowsv2PgJpPYoAF1Q6bZHJxNMmndk
n209sRm3H81CK0k3k1FaaJKHhQ5+7c4wRslgnWPZ6+PyVUEnHT4bTbrxGm2X5hKL+Fjzz7tZd9vE
OiSjphUgczAyChcIXc3odsrMDRdJkJe1HS7/h73z2I4b2bbtr5wfQA0EPLpIy6SnREpiB0MsUfAm
YALm698MJk89Fd+7pXt6t3E7VcWiyUwgEGbvteZKSVlErkckEm98VKH+XkvUpHfTIfzV/4/jnYZe
VlXYrxeFM4Dq3ftc7Lm8NSoPt9e9AYfdMg+5HBaqba3nxHGOmM1xW1ffn4yT3eVkWDxhd6ZQ7J5v
3t9thmUJ4ta6wnRGnEBkJdoUj3O3BQRk9MAgxQulFn8TYHEzXGTuLlGkV3HXaMgaw6icmktz7qkx
ulmoegMLkcXRdJ+MuUjGk2hGLXVLqYpy6WdUi1xz03ByLmxqzevIib/TbDaVQmN/omQAH6wu6OH+
DAlg4T61789+gxRrQJdRAYjdwtbRD/D7V81CA1Mnoy8Vn578iLB5AtJSug+0paEaqhae8U3oxclP
j9ZA/1gG69R+zxQS5atWzNWIDaCTY2xu6e7SPoyyKcQaBrzH0C86p9DA7Y1HaNV3R7rSuBcLhnYY
bvIN/NmNJOl9F/Aq3EcPUYy7p5Gqpu1IktX45FmlJmmX53eeAt1vvvtNXC95BCWRLcd9a01GEUJU
M0UfR/m4QnPfitkPeCrouet52hkSCkdRECQSjBDhJaF9YU2LrpgWUwL98WQ6dTiU1+i00ITGmdv1
KCeI124ulwEFbUautj/1d8rNlVcT6mgOgRkleNvmK6mMIQC/2DBX5FsZuoY6JJ1rMyukgmIvuaA1
K8vnCQtc8yQ6oeYoGxpmoKjPhmKeI99aG/t5bQz9lnOeJTa9c+MRzgPTVU0VknSr4TPi7MsaHi0s
ttD5sN2QChvVrgQW2QYQmYbNtJaMAwyb+sccyeDReja3Ee1dILKVIVhaPFrtXjgkFtq7zENWatyU
fthkD2sb6yUkqz3fOeZQpxhsvlvojGw3Vm9R2WrW9NXeCIv85/kpswelf8nh8MxzaxFFobJPK7IR
I4woNoKgHStoPXiiAFHwrDDF6EcUXXWnp7UGi87PvMvt/Ksw4k4ew9Vx1LNi6rPR3U9NGR5zZ87i
hxoKDCVD1LEM67KFuvdqzip3GUdJop+L2W2ZOxMaCYhJSVX2lLVpK6VXuykJDJw8OTXE+1DmXfbU
WqNZHISkaAwqLKXCiK7Jbpb8EzOgQi21wHcMqCbbaw66i+1ucxVLzkASus/bfVrdVkMX+WmTqb2i
p68ezh84Swsfx4SbiSm8Jl1C0v8rnXb80yf3fPzSFTS/xda1cdhd9/gLZjMKJJybeiemdmx3TsIY
+tF0QhrXgkTLosZ4hy73fujDMj967eyloFDwXc6oSFfjshhG1PZkVuR2dVQJbbObjrIrvaw4BkSP
7cIwJmw9bRYnT2RYWrzhOEf0Urw/EmdW8HtPg+tXW4TS1lYyP2arDwQtWtOOOPCttXT6OZqGcV0u
JeIRvogJm2LTOCa+XioDFUAiHPwMdqEdslkiybwepXuBy9xd1B66VBU+DNLp+VVaL7Pm07ETZkhM
U1xwQSt3gDewiSEyVIiqOrh2lJJ92VzZo8qyKwZsLS+6uRMiEqKkcgOtswmCk49QmgfaAYPOKp2e
qfptP+C/3aEpY3e2rUOHUNrN+8LG5gJf8iFt7T7pKVN2Ir0r5RxPLwiF9Hr9vldyhObhnt7X8qLM
YzaYtTHp5yhdFk2X5NnXHaL35TdPG71ReF8kLLzLPJqdcPR26bzxInhbr1cKCRu/5g8kObKkjWQl
xJG5Cr0W5zLTi2o99Xr9rGGVcbtKQAH6UjngMHikzqseYLUsHjf0d8Hx/7tX5xmpnjcRlXQhqcr1
ZPkbk6u+zpF7bhKVWDz1Xx4s/USFZypscmYp1kHwRpQmfDn/OVQT1qetC2aa60vgKo8sRhqylx4W
Myb07TE3kHwTSWkWBDmjVCrw3aE1mngqZWAkzLbOeV9Kf3zmA3ek5aI2RmZVBPYpj/m6uRwG2TFB
zLhD+AWflgFriDm4NL02ZoxJlln9vPQVfqXHDfsa/ehhzfOMeacs9KTMQOdX8MlfcdwtckPAybsq
K/UC6iYVuSyHEDNcwsnQa/TyVBEdK4fHwuqMtnzqcCBxZeHFoZt+TrFL85VcfeJB2s04k6JVcQ5f
l0kj3SocXMyNChUc+51G6GWZrDXqOvsGgzQ/sqhCcNPNItSfgh01fCMslRrV2JrKXsWdJUHr5t/X
WtqduE1qt+BSNJlyTUOQQmTw1/FuDlDTSXLNhHq7UnXq69dPS1yyz5nh9bJ8et8WiKzIhpe2X4Lx
cTFsEMUEmKVajpaXHEk3TjXoaThL/Uy/6RY/aLmxtUJi2HipY9NDzfKUZR8C1cBFHhbygu2L971H
ZnWatyqFoz9klYbsiD9NnQQpi8Az4WYqMi7jiLGi/2DcVSMfxx3HhocINYExs7XCg9LDAbciJozG
wdtoncndronuK44ySWTwooeb/hN+xWa3ucC7Be76xrX7gVu+pL1mJxsybfgzKFsdP9g2di47dY02
UI/num/0rUtCcmYZFWdBSJtWGhuOop59APGfby+HGoI/iaQ6pF3iSjIvfnY9bgYS7ZRDsIMeIfpj
5iUKyxVV/lhYl2WZ9FnaRaSUmkQn2oaf3LDvb7InX+Fs+xqmcSBf/ZDXw51Vm85wCP2+rb862Afp
68u8CBIY3maFg+EI6KnkE1el2yMTddh5bnNaPcWXPDVlJ6K5ylY0LqmkzNlEWd+H412D+Hf5AmjB
rjBsdOmKLbXuCottmJLcGfsaBwrHjqjAU4yBBYecocYdAxpN6uOcLBb/qtaukt5mQTszzltQS7Mf
RhLA0LyTJPfxxYJgZJHbomRA3fF3XUoX6VBa9Y9sSBVGZpnqDPBIq099cTWooMnbhwBRjlnuQxOW
0HDrhAViSFSRGMOY7DCx3gtBwWo44sfXr28m8IvynTRwxHobpxStc4yLpaiMXWVZY3Xb9iozgyMO
1aBfT4Gvxb/049fUFru176C8bySBB1Ls6Q3GC2tkjXngOPfI5dk/yxplQhaBpRR0fyo0okZ33c21
HigTw5uFi59nAY/Pu+b3KbvNrBBZDHsbo2Qm9jw9x9POCcW0G4J8ybFOt26qbdjQEsVu4DhUfcqr
hWxwJudS+/bd3g2/EPcdcGensfS9IRpDUNbL9QBWFKsmVuGy2gijdVtzE5C/NARfglUwbrwshsFA
Y11k7rXljnq7WjWdPrbZ50Uun1lnyo2VLxoPjKZV/0htJk5QRH21EueLyrvUhzIOID1Txvls6na1
/kGnN1E9YMPk6c3r2V7nuziGxrJn0GoYOQOFzSRCbo4neZhrQUJd8juXY2vrtd5eKIvYeL31Sddy
Er16e0xrY7YNFytu5j2F3zjPbt6nC0QYNSvC2LZ61mfjF3dixvgn3LS76qseM+QD58RYCcTH+P3J
cBeZPq/ggtFT+9Kjm8UVEZD0gZPwDTnOfOUzs6eTa8XDM+xLGKpbryne9qQxWn5yFs96CRN/CHuS
JNATXjCNPmtGr0w+IeYNnTxg1a0Wi+SV0dZqX4xO3hVHz2vTJTiEqMpmnPtmLe/twYY1MWQjl41Z
g1HjYqWwWFeR/dOpfl/Gay+fmSMX13u7LudjjNH3iQAa4pHJue3g3qQbOkToTm/e8wrWNFz5LbtB
xHW0ztNyxr6VA9J54zwk+JowmNtakPMeg1Cdp7whLUP2M++La9waOg2iCAyjzKI6wUneYwjDL8q2
+LzzgZ+s5zybdE6ushUkelIdztt1SO/6OIgt8+1AsVgcEavU1qUGMc96pYPWObJABL3Qh0lTAt1o
dmVmhOnl1C7xYj0vBm6U9UBOyThPW0ZIEH4yHTngbar90ExecfwM8adQLbI4rllqxIB1cgNLAPRe
VlonclLpLJuEEoXojpToiuCVMoH5GfaWnJ/TydY6qJQMyPzgkF/SXlgqiZenNgbSslm91V4PSYux
5TNbq1UaB3J13Tk7gcPF0IUWvFmLp1mS7ffNiiuByB/TamZQXA7hu0aJGHuMw3IqxuYhq3CK5xFZ
NllwpO6N1y8K12UpdkMzO99haczWhVEPMn/JQe7STVgb/1Db2NfqE15B5V2sgzLUp4qOXHyrEnK8
g21fJzkXHdMCx+sYGkESbmEz18UWklmFmTIvi9Y9Lg0z1rDtK1Lt7C3LJLD2a300iw+mwIlQUyPj
yrF5BJ/c7236jaK8clPZry/vJ673XTbbAL3rORcJzucVuK56wXXw6KgHHLRs4H2bw3u99UF2BMiA
8W0wKPvzQT3h8zbb8/iHfav/mnV+quZlpdw4UT1ieGSIL4vv5yM3EES91Xzf574/Er6r9LZampXe
hRv2IM1vlA3aF6mWzNdEEH3f96uNaWnZuP5YtRZm5HhSTNpWwAjbpmf8O/OL3lpnMBJ4Z32xdvnV
QIksv22w/kNaqbDmVCdfrR4myiWZ9ZRBTVefg0AZW7w86BsdpQDwmOzmiFoGR8lWYvtjCzqKsEAc
GXOHmy3KBXKxtkWG7/wn81LJ1LW2i8CnTEQslkpOZVP5mUfKS70IqaO2zWIQaYaLGILBdMMNbKeb
pMC57UUZBBeT8okHpWaH+nLuX+0wHPtX9hJj/gLVRuZPGfY4hmHfLUP+MuSGmMpogMrSF6wXXgeJ
YoR3x/XNlknrntZ6rZfndiKOAsoLiErvNUdCkuWHuK8UP+cspp4EzWTW83fTKlMwyt+KRz69/AYb
V43CMY8Ko9WXo5azjoro2DGwN5KZyxeqDzrvZrBjvRLALtC5Ee9zGE9cQHki7ZXNDicTUhTbpYDt
kkfC7YyyupO0Irlh3nkdGk0Yk+WmPG/nO9PWpw1cC3r6CgU8+SfXsHgoti2PhLNu/71I66ITl70p
9BpYCJcyiDdZo9cdFuAY2UTRNGgtqM+NHnyZNBvudzWyo44jq7d1QUN6bd/zYnT2GrkBa6TGfOu5
c8zAnN/FgxSBy5CaB9hLb9tgow3DyBqBbITb5VwDqMyaigm4cqodxhuKP67B5cP6EDhbL4JBKfPL
ikex3yO0bD34PK3FZQtK9lifMd+P6vP7mmrW7VvxdELouexiP26XlxgLoxh3hNXqJF8vWUau9URf
hI/NlltfpvfoAJBIOYYQfrXHx9raetXs8AkNrJq2QzF44xtWxcUws05gS+yxHmA6mkGWGT2/MNbr
dPleBqAZq3caFCB0UkL3XsujDsvOYThD9t8PixjYde5ANXoVmHOOlXjRtplUOJJ5QBeP/Hppq4Bt
MmnsTCdd7066OpT0VMSOmYXFwNqIgURBPJmAjxIrKlSu/1UHJMjXFPMAkNaMobTi1nUIOPgIieHp
DT6Z9tz3rLH1F0ZKFpi6znxgEwNYlnOlJiuUb19x3Zv2BshTYr+uGWgg9l5iXm+c1JpUviHqFG7U
l7eOwv8aD34XI6kzH/9r58Gn78id/nWXvXbd678wIPzrOpPjKxaXX50I1CH/siK43h9m4Dhay2C/
dVppUr9bEfiWJhnSfEWQi272LyOC4/+hq6uwZ3CamCJ07b9CJR3vDzp5PtrEgDglft36T5wIBEj+
vW1Elx6NkenxIqZA2P6xRe5AKMIEp9JDutr90Z+yL7zmXvbVFSAuSV1xNaGoLMmuFAMI/PSBqu/l
WsfBnhjvQ1ryHcRq6dHNMWsOwn52p8yLRlPunDoYIyurLp1qPVEm2cO1+zQ25TNOz58O6auL61+i
HTkxlXPuQ4KEHzv/QWPoAvP+E8go9OHxPOzg7nEmZa8r2hDwy/qUJ26x7fO03Thz8lJhQzhm/qo2
aOnmSNn+yyr6Vzw5xi7W1RVsjsauMJNyy9bpng98Yzv1c2Zax8YtzC0Z3cm2d7M+wjyI+roPN2W9
Nluc3Ov1uqzrkX0MJy7opyEdNiBI+U+ItTnqyY5H2ZVfcSw+h021q0V8GkZkF1Men0DW7EXKy1dD
8WJCbT0gyEt2QBXa89vKenAXyNgOparbTZMnj6FxC+roDtpVseMs+jwt3g2OK9TAQ/aDQznTLe9k
RbGwrb2wphJvPlWpau8cic+fPMlyMxNlHVn+uAWo8wO5Yg6M8KWD+EolwGHv0Y43TiO+VL3BiXl6
Vt7y1PfcuazwZrAE6cu0+hdrkJNLYXUtkkNQOH3s3fQrMTRpN+yqurwzwvXLOnGdLJd7hAg0okpy
Pw7tXYFUbENQbwvdYw03U+DaB5ItaCKJq24ehxMVTA1CBLwQfEUpumnKUe1L5dH8zkY6tau5mZ1v
vqmRv/jv6aykkd1kLxhYl8vAKNtdMlrGLlyc4pQ2rEPEbCSgPZx7DzpX7qlxkwmDE1o/lxcZxaMH
J7eHPSdESpWuPZ/KmNNrX1Bd7DtnW6QezJCVulg98xYMmN008amo1DhZDWIddq459p85m83sJGy0
9UOH59X1sg2lkCaqnfiUdybtlNk5zDHdvMyxDwZghMirhpvFxwvo0ubelFTDonRlsHsugeWt2E02
6I08vEDSATStfl7plmw5z+4RFp+EUzyUeXfnm9z9VA53FfW4JN9bsnj+Zfa6O7fbf01M1fKOX5vw
VhB6pqmNNS7nU/cjiNOrzYZMZj85BGWLML9xD0vuHekb2gyo8ndq+I8t/7dXQw6DtodXFR/xrWoU
AhNxnBz8APmxl4SHDvKL0dRfsR6tcXEzuRMrNBlQWdF//edP+iGozUVjzEdlUvVcLBkWn/fvHXKQ
mcBZXCs5IPN7IaWm2XrGgl8e5Ns6Mde83Yiq34RxeQWj58pY/f0/v4WPCgH9DgTSaFPPtEi1P/To
tfCQgpxIDsSoXDtWdZWk3gUIUAiP5a6Ji99cbp9l4uPNxeLGeoEwHCfXR09GbZt9R/MvOcQcyelH
IFNfnrqC7A4e+Q5HF+XM8DMR1CFBRNNT7njXQ/tiSfoabgIjDgd8nO3doUaj7TyFjQHe9lLm6ilo
gv1oFUe7lTdVKA/rD+o19UZSwPCXdidW5qN6tO/rJQiiFapD22Tf86m/gFhwGct0x2y0M4P01ZMz
B8mxfJ5LI4haW1xhseo2vHEE82og+kogc6ZYmabTd2mHn0HDwg4w7e7S6lYDjp/zw5fd15xzZ+Sw
hB3aUdynDhYBSFdwQhPK+XSJn1C7fE4C66lYgs/paj7BU2GQdcEN8Ujgt4L0VANValrj2Hqme1YG
/e9e6jd7KeGyp/mv91LXDUnXbKS+D79unt5+6d953BYbIZ5UbLeujZLPRvXyvnnyrD8sm4Yo0iYc
Gzb/+df2SXh/YIPA88WWBkW2Rvi+2zj5jufrzQ7/0/VDGGT/ye7pzcvwy+TpBqEveHIc1HO2y8Ot
N1e/CLVx8fce7NN5O3p2/5hjrfiWFvOB9CKz3lTOJE6TgUaDwnDzOq+zd5cZ63yq7dw40f8ev3kJ
5XgwJOOlVTrJxYIL6METNErPGrD/aPz99xzCt+q1I9jp9V/X39v+X/ux/vF9gEjz0XusX/mvyPj/
GfHvwvvHffv1KwS25m/jTP/C+zgL2FVbAmv3W+Cdg+r5r3GG6fcP/L6gQFkdcSI4TOrvfmEbK7Fg
D669CYikyW39vwPN+cPFR4XklEGIddX/j7LfPwgiTcDqkJTgARPZbeHx0dqvX8ZZZysBpiaV1+lE
NZfQK2sRt4UjC+tPSJFEZZcGRjRa15Zr7OOyo+z5y3P5/9klfFw7WT1wzDj47wGOh1gC+KS/voNs
ysoUDZa6anpJd8lSnRd+0qkV48Xihml7moGGu3dx1829EeX57DknoBsDgbyJgG5Ddb1n/5v+Ttz4
YYUzCVvkQ2lTD0ki/+/7sjhaDdSUxJU1DSXcm8aDEd1lUMc2RV4kKqINQK2nn216A0U1wyoKYArC
OqUrk9/JpSjAhzipAU8RQIL4jSRQMN/9ugKbIacr7f1jfvAEG6wPd65APGG1NlanDEXVuOUIpINX
WyO4MzSi5SeRBesAABWb5F5Z+Cej2fHr4IV6wdhtEVN0D2FhBeoysYZq3ZeuCrM7EKeZe/ebO/xh
a8ZUiMeD/TjgEOTSuPH+focF9EfHmC1xyfminC8UhYr4QqKXmqNEYh/bpV5VvzZNOt4XRUdRMZ9k
7x6lMw/Zb8SM+qV+mVaRSbNBw+MNNkRvWz4KKeuMTLrSE9OlFftqoGNb9eX1NK02cIpizNtvGV3v
NPnNvfpwEtavqk2Inumjn4T2/2FzxpEPKwd0EHwcwlXbce0kQU9eYZqbalhd+Xl1u9yMjBp836FB
yG5uFsBI6uGfb4QeEX//8NwHXQ/ATO2IMPiwptCYKtNUthX7G/apy2aE18s5B7pUOh/++aU+DE4+
ceg6eJNtjWnDZ/RhcFYYBVRfTxIZX24ZJwpd3njhVPm8RpINW/O77eiHT6bjKngGqDFwY/XU+PcR
BpnJCxLHmk9FbizQmc+XUKSefVn51Cgfu5oS6cWChsY5/vMn/bDxRmbs0EbHQ6PLLBql8veXNjyn
tEMEUCfPIMbmEHgVPZ2itbzbJlu5ruRuo9KV8H2634yqj9eYV/Z8VgDt4RMep54Pr2wu+OWgmZ16
CqFwzYeKJ/08HaUgyn93SznIfJgSBWuYoF7Ldzy0yBR1/v6KfdbOcWO0ioaRsQBMNfrlp+ajAWFL
OAXueK6JQMKtvW6AuXs7eEbOZVX6MdmbrVxubX8AoVA44cXSLuXWlw5I1qwJLqFqWjtI6xPM+tmL
2m5Qp9Kp7C8y9KajNA3vYQo5Gc8d6b5ExN7Mbpx+0uLD1mE3HuOA2EvaDIVzMtkHDcarKst+03dy
/BmCOnxpxx7+oSHKi9Re3RuGw0uFyebgmsVwjc4g2LQuBE76a+JYrkHl4k+2gssO8fwhWMPgszG7
wW3WAGKrkgZ8XAuRwcTZSe2hkVtkMSthwXVZcFGAuLGoPtqe6B5S39Lx1VUBetLNTx4y3kMdV49T
W6z3Co4Q2VZNt1X0vg5D2HtHsGvp93YcfvoDTuFo4gS1CadijQgvXbcVwsRDGM6gmqjo0iBz0WXW
qdPe0CFyIiJwgJm3rTgOqD6iyTXbp1hMNHG9uQjAwNXdd4KSrAOAJn9fuzFMZvTqO6B39ZblWeB6
QBkLKZbA0AXF8bXjFne97fn3bjAgO/MGcR8AfHhQjal+IjOcN0EOZ+oUgl4gtgxE9r1tC7KneCec
exNwdRu39mj8j5hXnt2YjsKGo7S8sprFPc3tsG7cNB4O7uKFh9Fr0QnU9qnRxRMmJ/rZjYRbkPJj
kH0HufNQJRuX6G3Xqxwl3Gc4Qem3XNVlvGV6yG8LlDmfRBDbtzAM1FPlAOpqiLLYSVp3l9JzcClk
wQJaOnREF8kqEAdUt+mOBgyQ1a7Axb2l9Zr/WczupSX6sveAUJlJjs7UkDkgXJkYDK6bGXDCeGri
5U863O5m9noRlSCK6HYm86UKHf8rQiVAdGlX5ccUF0QSDZk/HBuzQ0lslj/sxRUXbdBPh9yWRZR6
pbqRvpFF7ZTvYdbTNYPHCglqSLipbv24AMWG4sUdUg4VhNLK6Ny4CKPz0QeravVqQ3zqCr28qWgs
C7XDuxRXEWqMT34nrnILCeHiNz88ndI0tcmFaJfqE0qDL0Ay0cQEGDLgSEzRImbzGwC2g3Ir4N/J
2F5Bczc3YNxu40ZNB+x5ULzLAjUJ4KYdBFGcc/DcGHXAQ9Cb0DmhgbBqbUV4sKwcLT8kV0wpS//J
W+PqJpNZcof0crnKE1vuOog1l2A1MYv0vkIZvU7dKCOiTHkuW0upZOf6VdxF/lK2UEvTdH61kaK4
m2YsQjRgc3kt0HsXwOWmsvyaFnFpfMvUAslxoIvhlgQh+Hl63YaoYH6IOBc/KZi0mNdru3uoFwpk
26mWw3ATQDPxvsBtzOInDMIWKR7ZCtP3pDwqtz+DRlELNKyl9+BHu+aPDggcZYR8hGKmnCCZD1YW
9OYWeaUodW2ajRnJaGNdRh5dL+diTjVfsl9y+G2oA8kcN2aodpugV12214IkWLcE543UL1DX7cET
WunF1JNYvmmWir+gbIPKhbFkxXUqEqqgCoBjcJXU5upAlKsB6bkLl6CmSDs3wG1F6agbn5nYcXbv
MXyiY14BOUqoAFIdyzcjnS6+Qu2tkn7nMI+SRuM3k3PltqVO7wtJrb5zEJ6BlzSmNX5dF56P66ot
nO9Wx8bx1C79+kiBkzjDTU6PzLvxvIRVCYV27H6dpeDa9AFzxwZ63HBaraa1EzwRBIwQQ7zCE2mq
iH55ucZ7WwyISCpCbIrTmIJGuBvqOfA+V17QlDthh1M4wjy3lYsUISDamBsLPJ5H2lnr13otU+xw
1OqaSwsuCpi2EGY+SSpGkE1oZ03uULrz6yzsun3me/U1pF3L3te9tB8oxnO/r6RZL463IeNM5uS9
lj1qbmR7Ff0VkJAQXjcuszz6pMWeiF3hDst679ApqQ+Z2aieZ18BG9vVAVIS9GdF0WIxSykD070r
TP8HppqAFJFGLH4OFFsNi7Hz8175ByjfJT6fNPHzraOcYjyQvTtRitepiVcuyuzkBHZc187gB3av
VT1xW4zAbBUoYQjBrJYT/5gPHD/zQO6SZsjyK6uui/F5mKYatyIJxyWSqEXFjfPqVKbuH9pr7A72
Fl+4SSNf2F17j27AXC+YJJ3+Af1LIGDAsm0/NgSUZI/tYOEqUf2ycqVSIW0shh0hL0QAjBUCdQke
Ct4qDO3S8QGMuoNTRyVhgPlPfCImnD/yIhWJf1A3ZDNsG3IS2JSi/x7zz4YM0y9+QjyIkYG8LiHz
qQNuXHmRdGXcb0YZO3Tb3fnZRfTxKBYVnto6RXObiRblt/Ce2JZ/kVCmLvh49X6qOQPpZosXwVm4
xNMCpl++kQhbDSUMx/m71JjCsnOyQxzkwbUxVMQVOwvjzGr7C2+OjU8mVovDahGQgcilozvkN7zk
bN63zCtbKp/+beYrtHhZ6G2xObmIFCWZNgQ8YRoL/XEnV9XsgZGEp8Uyxh2xOStmkJmJJWjmYrsq
cygf3IDOUmAgcgSFjUgWG0VenlIyk2wgubK5hhhXFheYA8wLC8PTMasKcbSFwmxKLBBy1ulJvAEj
vTCh+lx7MjIrx71Uc7eciG6TlxYQh4h7Ul6qmlHtDlxrSIEeRVZiZl6spC0Pdg6JsJzHFfXcWF8M
dSDv6fhTwsUacNGtWQ+gM391aHY8yMQFNKoL3s2K+lrMTfrQ5Py5XiT+I/nzItjUTtBedWZNlsSS
tv5tPsGbd2ubwvCIzHsTdoNQG9cY1SOWmg4JC9oa1jzsvsvGposNmHmYxM8wxjWUL479hNcQZAu5
o+Wmb8FoRyE5HPsx6wcVcbbq5C5NY/epoOnv7v0wqYJvTocX6Ea9YUSDN6Ro/oYXBVif0iwJaitq
azJQo8UaEUmubA/wupVjS66BLE5JklkvNoj3y8KerAtrLglVUpA+D3YbEJgVuNZyLIZkMbZdA8sl
ylU3nuZkgCpGjNEduno2VHz6ANk/uqmo9fzic414e0aKo6wvGX7Lx8zP51Pa9c3DkMX2RfrGXnXI
RLgw34isXdcDZy3UXGyyzHX25hu4FZvQgL7WKeIf4KHDJ5ds6mDjje1gRuMb/ZUCD02+7o0KK2mH
RoRGDEf+MMBYqUjH2fYDApr5DSk7diMU9tAOKaLbrFsqBzhFRk6XjRtnBEW7ZF33rIKs+CRKlMxR
SBTcF1vbabH6lzn5AEgpbgKsSPjlzUqSvNE1OUItHvtTECz948CB/54JHSSuQKxx281xeRzGqd3O
M2yifY+6KdsluUQ6Qwus3KDV8cZ9WC3zdWJ7SX/Mw3Qi7YfrXSFoLcjGi5e8vLSWhESidJ2/47Hz
d3OXiU9qpL+IyrzepIWb7PtuhuSs2b59XGWfC+CASPWRGWadS54AR6wvXFrpbhegAVvrjReMpMeD
+JQuh4RkykvJuelgkwa0lbZvI/x5Aw6H7A/vpKYQexkpo0zH8fQ42/VwCnJZXBVjUV23dXVtyGX4
c5JDfO2VMrhFbDfsTeidR6gwmEzsyUe6kyWnIAxyakyFA3OL/MOr1cwZYr0FNIXZQncXqu7WbVbj
e8BBZd6Uxrr+ycNqEXpge/W3Mlva7yhGpoMzBj+gaheQigmJGXfGakO6tpOJw1UW5kcn4zhWdYEh
t6ivXmWQeydj4rno6owwnr5cD4sSHeerur+2hrLbgdx5GYdiCvYz4BpwN0p88jgFb1VVpUfO5O2u
XtxXdzbSreiry8Qfk73UfGgztszPA2eAk8kudmN14XSDGsXZrAHxS7G3DrtM5f5Xt4/7GyPHJRZo
9nTjEAvmO6TYu6ZqD5VDTLCoMnNbBkhcDEdeCZhG7H6wJsl5ItmvQYsaaLR1M8XebpG1+IYpxty3
COou8FCaAI3KbKOC/hjHkE03gWpDe2+77KhW3tA+yKp4u5rFn53tpxt8A+FOoZBlozMsx9qLy+3i
jRxHkePuqjAZ5GEmb+HPZXIeW6cjrKX3khP09kRLnR+80vZ/csZqPinOkTeoas1+hyqoqHdTYEwP
scMGeRv0Y3sL8Kn2r0HfljPe6iS4TKvZzDKMZAEdX9BCLh3VZqEHULvGZ5fjVXAIVJzlR9LBcmKZ
gCQ/s/cBnTuEKxJCr3ow6Yl8XTrZH5qsRX0dJAWHMiGKp2AubWw/Zbct6th9MAuXgAsopBdZY30b
J9U+TOnMPkrG6q5u5XTCnZwwZ/viMiYtbxOzT4C3H6hN3qDBz2bBls61gy/SIzcK76Rxm+XWUz4I
6+ilC0VAswSvXIfl9QiJZR90g38p8VxsB9VWfzKVITlF7fClGVtVYGTyy4tVcxnBd6ArRn9u7MpA
zTdz5y9XPNtlZCsnvCInwcNEU7xwNM7vC44hWISldV9Dw9zarFDHubY8kgMSNmWMk5QChPw/5J3X
ctzYlm2/CB0wG+41kZlISyuJol4QooqC92YD+PoeUFVHS0leZlSfxxvHRZROFRJuY6+15hwzJWgE
yT1RKPFj4lbEK7H9r3aDOukeNJP8m6iV6mtV1/WNwKztaVVe77K4Vr7TOGURn7NiyxNtpzsHIv+W
lvWMUJfoy5+NFJ032zbIfCHQvNDH2rTMES1IhYg9WHLsliqPlXEjSqAVXRzBWErLp6hr0js9zZoH
yyL7LAIgjMttIlijUNKzG7M3Ixai3VXV8FeMcKTzhrq1Siw3sbGq7LT6NtuJWGHYpUAt+G7z/OFD
2LAb/o4av8m9eIq1VaJqd7BvygMKddKAar09GqKG3Dzo4oZen3HfDkQ/rObcJkEzCo4YMgUMhDmz
PaqaiLCGRDP87hcpHyRH9xgRR3Pbo7D87mYdL2A8qz8jGhrs7APKVYndaE2jLiBttlNvSmvQyelj
T3gqhN5tm7gaiJLRCutQBaqNa9uVPqrw/aBWRHjh2gEn15o5ChZtFitK9O61p1e+VJPDuhiH0s9K
wgRmkVjf2lTVv8/0YuCW9Kxj7Pe5YE5rbxu2rBsuwGsm3KcqTLG+5sJ9EDPRzJq04xXhFNlOkyDZ
tDptfVk3yT4UTe2RAjxOq6bVppOS6dju2CGaT+qSU7C4HmmJkBCQlfaRktb8rDTT+N1q22JLBzgX
m9FoZqoou3rOQzndOfVkDitFQfTL4HyezTXtxn5FAEj2LZsz2T7D9UOgOGvusCXgjRMrmlL8cPNw
fOVjOXhwbUjQGRTihn6lKphyEo+9wI+PJ0AtTxk0PFZMqCyVZzihXMflkMZHWkZBeAosBx9SSufo
RZVhZe8MFjuUPpFlPsFYkJ9BaTcy0iheXIX49ESzuvoEizPou6fR0gZZo9r9JyGi0xxUAMZ6jFuo
kWwNR3metEh7IvuMJNFKPDV8ac9qk+av9ErYclR4JcVd2mn1SESF7qBdJSbL4Lcdhl81TBPRGbgB
XUItyew+Ez4dmM5aWfPo8mmw2SYdayIQ2q0OlaU416nTYHGYAv7K1EYB4kwGcTOxh5VqNwPiqFJ1
b+YeMe0a/I8YPoVuJ85ZpxTWuZKNan3rC0NHESXlFCCqyhx7bWNvLnz8V4uxk1BR/q6pzmgiRjHK
+JOLDcl8mHRjZDIFfz3hnvDDqBFiJKfCr36VzyzcwfhDiVyy+YA2mHXwGeJ3a2w1BgEtWJLQyV9j
8jjnB3vGyyxYUwD2eLjXp8afsRZER2cO5+QYChgXd4bS6Y2Hdwc7Pr0BPeJ/hIaFnJ1+6NQshmOu
2uGeUKk+2S2clpvMNKjj58QMYtzVuUFLM5gpHvvJgHO9KvXWdg4IqvXxVjdaCv8UDLJ+xGywsIQN
hPK5vprakvZEVUMIAHAPD+5OzkqlbktbtHRBUvbS+7rPphxpVUjrW3UlYuCelYbZxhCE45MZJoUj
PA0LdblhKhEI39E6vfPZmtIsCNNR1Zhbg3j0mAp1brgS5pQfVNoLyJpsV6Rn+YsLocSkcu3dgR36
vtIK3E5zrwKOWtFj7qafs+Y0c4mudnasnwi1cEB5Y9/yPGlatIzMUO7gDVAa/huDj7UYVzKdurSz
ZiZ7ViDa+JThOEuOyHw4dmGztf3KYpzod+yFkmbbY0q+18tM+07WkoX3Oqdaa6jhjWbcxCGlMW9O
xUAmWPYyqjUBweuGpbHbmH2wMlzF+lm3ijZ8+sd2lQ3OIi3H17Y8LOYkzCUJmHTEtZbbAdVIFcA7
jAK2mJ9aLSDiA069Q1zXLJOD3ka22DZBwiKlNd1sAM2dy3JbExNVbNkmT8lGjDqhn0pozcVdkiSc
Z9SWKY3FmSDP4pCRU/U1SOwOBVNLLhoxLNSJs2fxaOz4BEr3NLPVVTbL4Euci7kV9YoP/6wjkGlR
18kY310UIIumzUWWEfSzvNvW5B7xmybbPWpNPxL9kg1L5ywNuZmQ8rCaEHo0j+DmLZkzHEuKYC1b
LY08WVfsrVj4xvpQDIK/S9iD7bDnY+Z2aKUzk4sbAEfYs+MZhhkP/zIVFb9ua2Pgi37Us97NvRrW
Rr0PGlNFCU2s7HxS2swaVgQBdMN26nNH37jzIIsb2dZtRhRcrxx5uBT3pidFYo9JzW6Q/mlp9d1t
0ZytJ9tKfRrZSXWg1NSnI4OxHu5F41jFLsOnpz5EiMWLNQuhOa9dMEzJDa4ZExWj0NriPIrCXeNx
rIItgiZS/rLCtdwThVEdrxxC2MmzoX+cHMxOj2nuCrd5+ttQ+revhTZN53rpSKbOD5GkwIw0MdQv
E5r+uzDnFu3wKTXtX0RTi5RNacnt7sMmx+iK9uTJzkga+IobgGJKn8PqL4Nb/Z0eUWrsOncsp601
ug5OqLgMjPXEwhBsljeMJdqhqN8hbefR6JJsevn75eyI9Fh+eOPWOxWwSJRikgC5uisGDUNnZOk0
BvGDze1BT3JTbjM2ita2a+gkMhTCgbJJkzY5YustwGYYBpFNEbaM6WBNhHTcEoJW1sdEKTIUjGOy
oCzaqEyoK0l9dAZtXciZ/iPQ7HiT8ODaW7tz097DFZgch4ngrL2Nt+On3aoy+mmUpjbTedYDK+HC
CTo7taIDnGYokudfRdPzzsd6vbB2mnxxrYVlxmjOmw1O7k7XBxaOykY/ix41DwmHAAeybrOhc+YV
MO86883OLqcDFTvj4QXFhJc2obeDztRNrfRskr+CmcBUeUy3jH/prCtmZRXbKnGnL/VUTCd9ShmK
M4hoWD//dkuMKEk5y0bW6Olc28oP5pyokNFEvKCeuqrUgy+xHZm17yqmo2g0ytlps07ngbzNBD2x
W5eU53LrJAAAtnrXxYY/ZgPzrMgcATd5WZsSK5VXuZLmK3jaWXZoc0ex11J1kt2MDdTcaVHWJXvK
DfczGFOUzLzBkEZCR+14X2HsROt8JhBCHWLK7q6NNXOr0RL72tROINciTTKdKIjlG/H3qHTM8dNs
yjjRHs3YKsMzF8ks70uSqmlZMEztvlRT1Fk3f6+Ydg0j6PPQYE2C46nGpgeaRDeIrhUG2nOl7blx
ru0w+BURdmtWYLWIdvo8zsle51buqyESiTf1Rtf+BcqFqDZogMto3soay5/Yh32GDuSItYrP87nS
kBBvhsmZQbnaZSWJVY/G3mKnzE1W2bOFOOd2hd3xWGgTmY++Amm4upOC8QWdz25UfLWIR/dWofOJ
sbsMe+dbZjpmdhZjav2gzVBPp1bphFgnfBaHT+yITDxo7Hznu0DHCPjJDvua13ck7kMkijWcsiJU
5wesPfwhU2Orpw3CkxTviXSNxI+ksKbF346ptjsaWKTrV74nWcoHRcWSRp6Ims3KDShMrfJlkqnq
Dhby0hBWel2Y7poSOhilFw1hbf0I8iYEkgHbujw5jZmX0bJMafNaUZ1yJlBo1AmrWWsuAwV5LLB7
VYA/nFLi8M6NfNhYYDj0b00+mHIdAN7kpWI44DIiiF10KCuNtjn74caOiuGxbbKhuqeYmGKfeazp
nOysl8JLEj3Pd0RbJc9pA+2PRxQcyNLDHply7AgWdLQb+k/ECVPpdcYhZGhKsx1Azvzlnz0SGmyD
XRd5nWLXxmnBpwtVht3xFuf5fBOqxHNp8cQKoFhI7juQRVNQfWtMvRP0AkAVnReU0/joVKDx13HY
85wVTsFNI77NLPe0LqpqpyhK2HiZOab946yyp9mpGVXPjow45QuDpnYnpTphOgCHl5yCwYRv7oXW
MI1Id5Tw1baZfX6nZlWKryEQ4hcMS0n9Q8VgRx0ox8iyu5WsI5LMVswsIzVddbkevgBPktFX6Y51
8N2cAp6NgPam+5MBy1jvpiVmcd9MSbw2ZiWd6WFHjCKORgF79dyGbOQ3wWC16uNEgFa1CpcLu4My
r3SnAhNxcROgxcCLiNM2fTKZ87PQp3jby5UWRcDxtwZ4S8H4kE3XX1EUW4OD17Z0LHjzNSPFLGmp
qFotCrmu+Z1RI3liPjm7gz/xk2W86o00me/xFvJZLePOal/yom8mhFWhjNHsMIXqj9BDq3LXoLHT
liFLPJ/mptN1ErQdpLsKSPiJyABJeRasZqXspq+gVOqY7khhynNed4V4GDQ+jjvgFKzNNRV6ek5c
ac2HYcAnEG4qyEb26Cnp1Mb7uA1K9y4JsNLcODNAXUYt7FgsmiKVtrz1sPmnIzUDgdQkPUzdk20q
sbuhDZz37eYfR18vzYZeYRbmQb3uO1ovhFoSZhhmmxxNBemVhjJ0mnsm+yUm8THO2Oj2SNltYrev
iN0uVIBL+Y7IdMlZQD2/yE7/FHaY7Kkba2hGfyhzy3jsBKDapyIROPfGyGRo52pM3O/mjDv0lUAa
Ns+/VDT/Skb6/2MWzaKb/3+rmFevWTy//q4sXf7//yMstf8LEc4CAEVShkB0MXn9I2B23P/SyYew
3MV9QT4Ef/KPrhTF6QK+dFw+geYvb9j/6krN/+IJQJ5nuppru67zb/TLF9okHij+AYR1MKTgn4WW
8s8HqtcpICyk9vDHor0TOeu4aFh/5+1vl+Md8eiF+Orvw2g0NE1HoOb7RUf9Tb06zbXr6vPU+r2i
HMtO3bIHDYy/jBFkkUivaAcvGf5/H82EOsuhFoDoIo/67Wgpp6RBz259p7FvQmKAvLiWX2PFJpQO
jp7XiGoz4lPCSaytGwicIDu/aUFOwEF8ruZoP1I4WFG6hQH4gr7zU9cqXz6+INrbN5kL7whUjvjv
6GJevMkaqYj66I4tvoyR5pUGvr1CmlOxDq1pWT/S7vpU03kFvvRQpTpNEgVzDjjBO4ywJ1Uf91ha
aZOY2QJWKWkvj/mVm/ZL7vibDvHXdeQZg+6GO3BRy/95HRfy2pxatJ5RFuPMqqeV1jfbIWGRw6J3
gHT0FennyqG74M0JE55IdCujtv0RkFcTkUmpKv1z1NTfZFE8zmGxK1GjrGwar5uPL+eFcPPvX8o0
3wVYTXqTtQBQf7vjypLplNlczZCkTJ8QzBbIXRCuDLQ8aenaO2FpyGaagjGjVNcfH3y5VW8uk6Vi
irQR+rEu/3lwtXcq0gar1s9wmzBf4D1Snj8+xOVraiIhB5LK84zuGinhxSHQ+8UiIibEz1Xn2E/t
LjbBv5XWFXnmJbYZGyjHATRukN1ArtClyhzZWD4lRdT6jdu8hoVTnVvY1htI8AV8HzvzUR6xe5qy
cL2E0cEBaq5oX60L5e+vn6DRBWb5Uy3Bv/68mmZe2FmWKo2P/JDhW5zIDfXmgOJtmrYdABkMdJ2c
nuIqVlaDEmjPYWqiW8iQ1ahmWkUeKOD4daggT1BPlM6iPRn384RAEf9+Xm0tU2m/jU1wRo54U9V2
fjbhefhaOuznZK7WVB+Lwxx+wFBpPvz5275Set+A07eWoX07pOV2TObgc1mStkh8xclVdWPHz4Ca
3AwbuhXmNtDG8JPoVOGNTANpIJB3itzrFku/vRExKmIzJbBUkhq5QuBykimZteTE7Dv2/wAiVCgr
dugBQVKeoN+lW9UNi00oxheRkxekWcycAlVhh74zdKlvjKFzT8jwr7xYxgU6+NftIEwElbCNKJwX
7c/bUea9Q++nbQAqg8am6ZQC9ZCRx9LwYLNqFTJ+6CIXFsHojMW6qqLet4tG7KPaUF/72PzS94a8
lT1j6ZIn20N9YPukb05L31Ohxxie28FchQ24jBWnrDyNDX9YNSHIBoRI32g/Tqs46Xd8RMw1EjR4
86rz89+/YCZNRfoGvAO6caHRnUJ1NInUaVhAWuVzRjbLOZzbT3RGXz8+0OW6v7xhJp9uxnb8RxgX
a6pE/NiUfdf4lZqlu6Ke0dExyVOmFeIW9py97DZDmz0nPAdXNo/vLSJkcwkiBLBM8Hr/eStVAyZj
1VWN34I2eUVPeka9qT0HDOmuHOnyc89Jop5CW+6wrhpvjhTMrdllalD5c2HfmT15uBXRnyHbDDEL
tITVX//6olqLz4O8FBXRxrLD+n3515QhICZabXy1i5nW0RMCjbCKTatbB5V2FqnmdVl+5STfuZwc
lAaDrTFb5G7+eVDCyJNsjEkKzUMjXbtWchISNJouxmu7/veWZQvY1LIsmsjnFwvc7+cHbwJBFTEG
vm5Xr+EEB8oGTOSaUBNB2K1NOe4lUuRabQuvzdMfH1/dd08UxTw7KVsHD3/xyFq1M9iNy3PT4GvP
TfNsIXxo6/HK9XznobGQ5y+ZQS5RBZe1jQvNnVjoovHLmbAufS6+xE22piWBYC/TPjExcL2PT+wS
mL0sbhbeWL7ZGIJta7Eq/n5dNQCq89gota93rvlERectyrEodll9p+xhmsZoDTi92lsy1DeO3iTP
TlttZGeVW9OS8z6a/qfCwi0XvpbvbJXfv9muTqWA6fHt7tUCp+0UYcTNDtQtsT8Q7Zzpe+X+gPiW
MTkYyZRS+zvT1aEMAJS7sut79za4mEGYF+JRtvQ/r4kdGInZSAy9pkweOma5YMhOulXcTPQp6B2H
/3L3tNwDg3kWOw7WpDcZO5OlhKyYND+z2T3odfmEufjKfX7vlAje4+NFqaXjFf3zlKCO91kwk30c
0mLbim4oPJ0571Zq01dkBcdeuXLANxXIr5P63yPaF0ttSNAfFoiJI5ZVsEkCZbitIMat82L43poV
doLGLoB+lQ6QTzQBJlu53kqfIfTdZFa1c1Hs+4Hdfh9y/RwusKHGNsZdYsevH78C773bQjP4suPL
oQi82DhPZPKpxdDXfqokX2ySFKRR35hJdP+fHebioUp7JtRWP9Q+rE91DTGO0C3UkwF9/SuryDvb
R+v3EzL+vNdl1rjxjGzCjxFVMVTf5INym/XWly4fr93l5S7+vvFf7vKv7xwDYxINf73Jv1UdxGSR
2Z6RCZUYZQYIAqmYa9FZ025axzyrTrZX0mynxqL0EYA+fHxJL6uO5eAEI+FVW6KK+PefJyrHOJZq
xSOW6wXKZcsZXtp8rL7+Z0e5+PKgRR71iJ2ZP6ETolcAAPgaEeKdHZGjEhxJFwJfKdfszxMZcQXB
nzQqn0njeSjlM5zLB61N7uwoeFTrnMgPF3jsx+f17irrkPLHOgdgh3SrP49aWD0A+squ/IDAHl8p
xnAzTw/Atub9aLP4ocryVKvVaD5mxj7QxKcrP+CdjTUdH5Y2zMEY0i6pG8k4BaM+5ty/SvtW1tmT
wniVlAPpaWH+eazTZ1HFPzs9KzYd4QqrHKvIxz/Bfeflp1bGOY+pmBL/0phWxjxeaVVUfmk2gT83
2SvilIehGO1VA9hzNYCHhlyX3deyMQ45EWh+N+ACjQUKTerUNc2U9L6dgsjXoASGLZ3Vsh2yLWNI
2LwWOugxTfcZDMSmANXTlPMNY4NwC0iQaUHUHgkR+0K4G+hXTDzj6KZ+1wE0q7Uk9W24fp5mDOq6
k8o+q4v5ax/H1HQhuNRCaeGWcscsZZ6AeGigcKAdr+wqBWJjpI8yyjJImuKuauw9ROuIGR5DDNLl
NC+S+Zl03u4kVIQS+hxv+i78NA6oc6rUOIzNeAodZmwpYnByGh36xTOTZ6Zr6lrQW2BeNrewcOJs
S7zMoxVPOmaQ0NoHs3EbjXhUofcWmyiVxbM2u/oKGfqxzhvptzOy19ZxTgOd7e2EX86zKpQFyJKQ
TaCQOqSoOZdGxc/ctF/ilkyTYtrHSpKtw9YluKJszGMPQmVfonT8+Hl45zNJ9iXNd3zwKh/ki3c9
SArDzZlu+J0sEqSUKBCjMLpX2/gudJMH/q4rL+F7B6TggojCZmOpFf58B8kcI08wqisfrurkVZmD
rjxSN4GWHpx5oFnfFVdO8U1Li1XTwdjLvNxgb0XC95+HFA24KvSdJZtMPOy1Cf+SxlfySH59txqK
+HsPqMG3yHRH6m/e53n+WpXdiZ9WnEMdlU9QRdlecxN9bcbjdAsYpXgRjKG3vWa1q8TJ8G9/fFsu
jffLLtUxdJYJVikQB9rFAjk5eTq5blj5LTZGx64O/ajgycmjW8eo4N45JPoEyYyfodZ/DorzKBp5
LQzunaXCIaaHzT8lyFtHqZCoSLreLvna5J6ZIbGXnelFs+1cOdvlIbv4pkJDW9ZDuAl0HC52Tga4
eJjbY+nraf7NSswtBceVwPNlaX9zCA1dHvHrix/34nrSrQBO2aA7TKX+pZVN60VFQeZRhJ46iVfL
7scKjXu7NdsrJ/fep85aPjmqiZDWePPRYYYOvV0tkWbHh5Tg1awKPiEouZui4s4sybErkuH88eOz
PNFvztbkIV7KCXpGy0v42yYFgZ0zq53G2aZmQ0zk/Fib+caOyePAVHPlYO9dWgYJ9IOXaceb7kY/
QZgfCSj0M9O6U0CNYzzIvdSwjpVNEJKwH43aegQLfgVh9d6FZXqxhHSSZk+/6s+TNKUFSl0wEh+A
L2vtBpEIKEcSElC+aRsTmTDbsvTp4yv7qyK9uLQ0KaFhgAyhRaYuL83vl3aA+mzyYfOH2U33QmnR
ZVOuIXF/MdIxJOd2slbOmL/EVrejvbQu0vSoTdYAtnXmsthuvaGpmm9DOc1e2BimAxnVMDdKyXLf
JD+EqOgFKi1mZZTxhWWY5Ew2j3ZqvqBLfLZx4oHj1z4baW+u4LzezHYKJRiG8cpZ7MmGji0haUN6
jc6RPs2wwmwSrRM3jTZNWxMQYjf6dsHkrYe4fvz48ujLe/Tm8tBKo4h0SXcWF++ZmQmrItK3xAiW
s5myFbHSlwKsatUVSj/zICbkV4iGD9OyO4iII/tGnsgWYOn8qEZi3fVRu7HLfG/OZbLRbPzcUqkR
FMTi2XKSfJ2EsbstlziRj3/6Ox8mmAgMWuG3gG0UFzeWhHhCUJqKr4RF3C9pafMKtqiGxG0MT07F
Xe2xklx5d94pGsmOo+fO99CygJRd1GJZNpoArczSXyTo2x5Tj6dndCAqvsu0QBBtxnOee6SrBNsq
izX0o1QWSVJgowqMzwhTXkbZfSHOEcqfOt8nFQSWsc7qjVriu//4Er3zVVo2CYaBc9YGGHL5ypFM
EtZ2Lwofkzj4/OSTUQQdIhnQXTUasOUv8zNx6GnYgBnE1PlO6lK7tod984xpoGiZYHLRGFVdrqhj
gto1cGThK1N6zCb1RlWx5LYE/UXIyyb3JGO2sE57rcx8Wz8YfJVVG+4TLRq+IcuK9Nu7bzZjTKpQ
jHi9r2Jcf65fRTMezc4BTPzSQD3gKcVP0SNWvnLOb77FF4e+KF1qpFlRrmZ8IvGzkHmwn0rmB9Vw
5Q5fOcxlS9wZ9Cyy65SXwB3ORUaUWNdiJ7/Wb3rzwV/OBqaRzTq68HuWP//tQoYEkvYGmTe+HEWz
D3C8HzNNXAvme/9+6Y66jMwJTdEvNn767CD9IrmYOUWKhE48Rpa4seLoZXDduz4EhsdQ61gT4aT3
zubKu/KmUbCc44J/JYeUfadxsZ5UaAwpBkIOXimHokfoGyR/TeQerXB61R0uWTJLPKf5RDzY/sqx
39SZF8e+OPFEUeIoCjl2CNzOdLNNYy2TWoq+CTPPMHyqRfJ1dJRPY1udQIr826V0ObzQbOaWdFiZ
elzc3sIeZ8TShT84L9Gkgz8Oj7K+JU9gZwv3ysGWc/nji3NxsIueyIw6kQLaLvyc9IXB0VfW0K+l
qdO1zv7DQ108tgHBHMTuOYWP5wvNEowrVj9teNBpyn98B98/KZN4zIX99Qtl9/sLguOvqi2NF6SH
mr6pLKTajIpGStl5uiG6fPi/nBmjZhpLjo7g8uIzlDORRG3HmU1u028BRoQrnBjVNmhyfd2PRnbl
CX33/H473sUTYst06PWcm0ZG0Z2tyTM0mH3tkAmpd7v/w6VknQElyI74zRwFP6yukX9FcC2841Xl
iBu3Lb0my4Gtp9eG6W/2pMvD+As0ihQFXPrFF6KFLxO47nJek2iZ5mKPRk7du92mred9kqFHUIzP
H5/g268yk3v6gRbIOjpp6uVQSjSqonbBcvP6eLGZKOs2iF66GhJ6WO0VkZ/qCLF6uATCdPZjNjRX
iqt3vhp//ICL96KH6izVkfe9jpHdZNZOMKHIHPnw8Ym+89XgkaGCo2XN8OBXnf/bVyOrrRlmAhe3
xRxyYG9er8K0v/ZoIrh6u6LQJAT8t+Q2g5K8WD2x97Bsp+xhLV35FsdqgKMgt7bsCBBdF5tWqtH9
VI3EWhvTj6lKGN7S8lunemzQ/FIfU6WGQ1LVq9jRB5C3SbPvevprWV094nWztvbcoPpvj3VpnJNR
vwecXK6S2AK/pkXDFvGkApwCwE5PQJrHHp+QTb36TH+qPU0l9FzseuM2bApxDCDLL5IXoCTghwA8
9QHPOcNyt8ERnhLuNeTOz3JQwx2+Z/NUDvFuKJS7oTfyY8qR1oQ2AreW6kHrDQe2gUH4c9pthyWw
aS6UjRzcdDeA5PcLm7NP8/mvqkvFDXSHryH9rfXIzBfxbriy827wHaF8NpIsO3GTvpmZNT52VMde
CUNhpRvVDJKGbF6EujaJR2WxgnpT7+WgIOJVutLTcfL087grqyxbufBAVuiJ6/soEY7fF3ZwK0Su
Ec+iQYO10FgIk6rJ0rp1GJmEjQXqc9X2n6QSKCuj0G/tQNuncHQqZnu6uW1wFqE30O3naKHtEEje
nnLbIF4rVKbzlKpyHaVzcA+PYPBI82sODMsdj5A3Bae/Cn5/aR7KKE1fsWWDFdOn6kZt2HouPocJ
3wY60s4k8EBPTo4JTgmiw75RI3MjrE7dyyI8galm9pNnch8vEKDC0B6NKfwe5DJZJfIxxpZ8iDU7
Xw1VU3qdk/4oRFbdDHPzQpk9c9ru2qB/vnLF3PmGgR5fquVOoi2ACzPmfAMJhlyEPjvCtiEPJdpu
gKHl6obrWe5kYNVPzDVjY2MH+Q6bwcy9kwF6/Hjs7NXcl+bXqSIVnJTKpD8izhkbaBLBNks6fPmJ
Xkr859FBNnH7WUPkAju7Jv7GznVfy0Nrbc+iPIi+HUnfCZEPJ3WzScLya+mgOkZunHrSkfIe2k5A
dWj0e6UNzhUa+CephCZ57GF61wSVoZBelNir1sVZPYngZDmKWAdCSIAiTeIXXPh2gxFEGtsBjFW9
G0ZNOVvwMRvaxw2sCy2YUNpHkNHDaAtVoL3vCwhbQONTFmcr9dBDjx793IKAvKo65owq9mQdb8y2
JXy9LC3+9vKLjRpcy2X53STIfR8k5gN1NGZsm63PCu6Qu68Hq/seGRW0dGi2waqYWvlqRpGO5VzI
oT64ei2dtQI5EHhQ/ymetJ1NwwLDSeR1wbipFIlR0O22Ge6Jw6ibz3Y0asda1dDdVRlwFtuebxEF
Np4MFUxt3JPZ6KmQ6xZipNZTsQE8DjKvWBTamUYw2SpRpDzpYfi9U6WFe4vva26YibHGqDNDg0Ze
5ofOhLyQsufGzsmirQyybVcVqaGhZ+SzTkBKSdvTCZsZ0FOLRCkMa91X7F4mXtWMtgoTp6xuFaUY
znbuDodW453ZagkhHbmltI/xpGh7gd0XV3Eu4h+4SG/tyGm9eWitTTmAVhrUQL1XBmbGK1mykk1Y
005BIveDbG9IBJH41ou/zB7Om1dFMYrv2p0bT4lNepJBFlh7rTVD3PJpI2/MwnxIDezZHRW0Sxfm
mKYRGZ1VINa1MnpqKm6hSd4hVbyXmthGQfVUNclfzVQpKwI5j2aW3TihSrqwPAhyclY2Tpe1bUeR
1zfaE+AG2jIqEozeSegk47uZkNn4c1seHSu7n1Wcek7cFJsZjtKa+uMreoR2bRVWt01VDb05Xwz4
WpU3hcYdIWsEHQ695o9Rd0fP7i9MbsFqbCe5HiQQsEhIj0/OFz3jL7ud/ZMD9UA6gnNXD8egij8X
vVhL42noZpSYTf/UWvlTpFKTDyRi+opawefrHgkwOyt5ka7SDmNIbG+kIhA91Q9DJ14A78QrackN
ZlOG0vEu5Mpok3uvdAGv2Be3b9qVYqkbEjG2jtOfC3AJtoNNUXMloab0otZTTSPVaqJTUJhe0OWv
ycAFdL9EpevVlfu5KOItve49PqSfQRL6Sd6ewyw6Rma/GZ3+Vc2Kz3C9CUbT5GFO9aVZyi7eQjSW
GI+2phz5+nsaRekUmz7Nc6Lfn7Wxy3jNo6ehIrI2tUksl0ntybS4w2e0cy3WgjHMigdF401P5/yL
MUwrOTm+Zpa3zIo9a+jMJQbgRzQEA6treCO0fC1i7VkR7b2A0LVnnVmByPvGO/UtHSbPtknQGrXi
xaXhF0b5UW0axw/dByuAPKKNzve8TM9dbp2B5WReMvA4ykbZTZk4dIEJBYi/MBpBeZeEUbauhUmQ
ISS11ATWxoYE3kIHWWqyOk84sy/q9iEtxlc5tcOhZnZPnkIrQ2v0Iwvj1tcpGof43swFrvP7oLTH
aINGEnpCnM4HOpg/P96GvVdWL8J2Up2gH7PxuygWgjHA6zLRKUv05kSeFHpAdH7Osy5vJ129RY37
JRRy1zvxtZr6TY+O9jmPCC4uE6kMU6s/C8sacoDCYwQ/oYUHGTk7TOFeqjyWmbxxA+sOwu4+UJmo
tiD7UuuVFMLD1Nj3nWYf5/a7minr7poi4O3mF5WuxeNGU2gpLy62/FKUShg6feGHweBJuABzXngK
atCPr/rbTanGSYP2RMsH/+NSKZWSkukG+F148MF4xECnFFaJ+WEgWUslSbkErPTxEd+emIp6Bsy1
TqsLrcjy579tt4Ua1WiD6Z5I09o7QJ/YbJ/J415/fJh3SsFl2oWxhQmkYVx2QKMkVpfg09If2v4A
+djPIwU1ZLMFc3HljN57cjkW3V1VW8ZA9kUXTZSWTDpSZH07L9kABFtr+q4XX5aMYY9wLYZChlhP
tJbBRF059vKPvmhT/H7oSyEmGbzEQ3dczf9m70ya67bSbPtXMmoOB/om4lUNcIHbsbskL9sJghJF
9Djou19fC3TaJimm+JwVUfEGb5JOWZIPARwcfM3+1p6y6SSM6R8AVOLTX+4GMG94vwBMi6w9iMK/
n2q/W/jDO4N/rVTnzI5ttMA5Mmm8Nopy3TEfpo7t/teP8rMdQwnB5g0lfUKU/37HjLORjmVB2Ukq
SDU15ZIUBY+F7uLXy3xyChiGoqgGqkie48cWTKgKxZxp72+6oXNN507NGDnrtC3ucn4qWX9bH69R
8zZeOe9UnUk+318VLCtLLbOW92Bq9qbc73PRS9vaTr/NdUkJkdsLz0q7CatobwKw+/XFfnJPWZTO
ta0z/QPM+P3qaZSlzH0JHt+c0xFoJ4CiFvzAulP0L97En48YmdmjpV6nIgngpH2/1FTCRh/rSmyi
fjZOSgPweJ6rPc2HId6mBiKuuWH8mak684u20SeZ/ZuVsUp5v3IpFZwNFhdpNfZu6R4Gtr759X38
5JhZakA8RodzmtGs90uEM4xDOKECmG17UphbGzso0gnAjV8s9MnuXNy7qNuhaAWdv1zrm2MzN506
YjpSbOy0vlerq3pKnzF186smPLEa84u3+7PtsdjbmAvPm57kh7d7luyxBirAnQNsUuM7XwPmWlyJ
fn33PnlAS36ooiGHqE1j+f1F1XE2gy/hlUOS8Fgv0kRDv/w3lqAlQLGe6SwqWu+XGDHfkkvMlTZj
PJ2ZoEVdtbWP/7M1lk3y5tmE6liYkcMBBdlgRdvRbdOvmg6fPBAA7hyABmIGvmkf3ldUL0NJOaPY
tI58a4v4uccYOpL/vrCfUEilTMULa5I/vOq83lxKP9pwxkzWKaz5ts+Tb72GZxaqcf/Xt+zz6/lr
nQ+3zNLDvjJKantIdSRYY7032PaxoqL/63U+3WFvrmd5rd5cjzRMGho8rocRv0ucMS6lPPqqVfDp
GvDuX+epHOPjyEA3mbXpABMkfQ38LlC3Fc7g/8ZloGvCAMK2OGw+dCNKe7JHZAkUgFtpn7TFad9/
BbX/5CSj1IiogzFCg2v5cFjKvYM60aHcC97rRQ864HPRtwrnvtn5qp3/6Q2z6M8R1mr4pCy//+ah
KHUAfaUyis24ODEvPmZJ/7e1Kmxk1DEapHzum/XRrEpxRIpzt1ls0CGdO5LAp9Xu13oVr0DjflGo
/ux6luCPkToG8S3r48uJWYjhCJm1WvlyXoi5X50wn70uGBBx7BuLuvWnME+pGRI3eh7OlJ8uWeVi
75Vb8Rfal8+WQYLioH9RFZ7Ohz2QISCxQyyQN5qFIaEYKVGS9eBj+OvdrH4StfK5tIjO6Z4oaOnf
b4CZWrgdZGwAitAXYqKaGK1VxYKFV3lWaaylBAWaY3ltbewMyjlKqMIMeEhN7LtNxY2rYpV+z+cl
hphdvcpBGDmbVJQe8fC+GPRrmHe+BJGv1jpX0c7BAHzxgfzkc/zuCj5895uoQQngaMUmazWqy99a
Xd0ksjhT9drX1fqL7+SnqxlI2Rio5Pl8zJlCp5NjCzrMBgCrJ88XAF1xeAU6Kl5iiNi/fjqfbQIi
jT8X+3A05yPje3bMYjK2zXwP3KizXMu8+/Uqn1/S4pBCYIiK8kOEgaFA29iQUTejMbm8MKtRjmD9
nSIiXgnT+uL8/Pya/lrtwxva99ScS8FqOJGvLW3aGNJtpH4Rbn6+CDoOdVHHMeb8flcHvVVleYmM
xZYmXyouZQd37Lr64lI+O6eJ2P9cZbmxbw7PrMfh2jJV2nIJJufOyfzqqzf6iv4/vJwPW7xEHN1P
Ggv1mvDs/HumPhiV+sVm+3QboFTSbGaEKP5/SA741tl93ilLHNBspOFFM6uNgDZEuWsFCfyLpOvT
e/fXah9nadAuxF0zsFqoN/6IwTz24O5Ecz/q/rb4dKkpLV9TZCL0FT9uBrOSS002JzaDrK4YRVjn
tvXFvft0v71Z4sNOaDqAS700shMs1aOqbIvOi8CL/PpF/fSeMbBL8MnHDY3/+/1GPycO6G4U5Kln
RiQzuSH8UiYr/moI8vOFsBzh0wPb4WOaH+qTVZgWX9GWlttowetV2lWrYsSYH//uJVFbw32N4IB+
708lqEItF1Y4oQ7+D2tNq3ZNQ4ek6i4SEu9fL/Xzl46lGBdDKo6nIEfd+7vXq2WkdIy8bQLJWkP8
vEX+sImU6FxKo02undKuLZL2i0V/3hgsSo0NjzeEumhl3i+azk6Gu9ZMtJDOvmzdOSI7z5vhi+33
86vLKotPIQ4Y5AofS4cOQK/ZwvAddtTsM1JCAzDHGPku7lWqCuYXz+zTayJtpiLKRPBPyvWKoTL8
EXifWin1cD3eZBL9wmH0f/28PllGoZLHC0vtkALNh9CULiSArGTKCbTUFRH3KVfuVl3xxUH0c8RI
vZ3eGRitZXrgY8qAY4cEesrON2Ejp5jNwBo6QtxOvlKJf3Y5zJNZjoXY3kRt/34nhEWfxa0DxyIX
+rVulJ4yGAeGW/52ALzI6xdbQfJ49CkfzghlTjMts7QcBWlar2wDjWQsGV98jz7Zb+CcANgga0UP
/lEm2do4Yo7tnG9UZ/INVZzmsnPaT5WvwmDBfOzbr3fCV8t9uCZS6yGgb5tvqmFa05K4wCTUXboA
DozuWjQP/8ZyEEfg91CsRiTy/kkVkZBVQKQsV2JYazubwJg3EXYJWWzjKNx88fJ+ci4heeEENJmM
ID/+sDFgPUUgb/N8AxrQHRWw0HOF4Qae7MY57DOordZ24Zf9+iJ/PuLxEXuz6ofTsDOxwJpEkW9Q
I6zKeEblhmF2A+MtN39/kf8/XeoLk1yDo+Zf06WYmWuf/nEVf396S5ha/s4fhCn1NyoZDDYDW2DC
meGZvwhT1m/UhkyDhJ0E4C1gSvmNv4AqQWFgYsEq8lhpFrfRf/6HAXqK2I5h/2XeyKKL9V//5934
Om6v73791lz8dTrpbbOD7JrahMHEFawEEuEPAY+UgyDNJiddD4IPBPxBLJ0HxnT3+LWMYoU1BPN+
Uaae18h2fUkyIw+BAJIdLDa+pah0vnhnf5LIUSsBt2TQZIK8JOsf65dzSGct7W3Ln0ZbOUaNre1q
s3G8SCmHQ9H18aY3Y+dULKqgapKDuwLLpUt8eObjm6d4+P0evL01qDc5H97dG9qmy+eR+hDWmwSf
788Pk7HPBmt31W9hObjY2UmuARB9V0yhgqeZ8xzV2YiZXs0Ugm1O6AJG0eCb1Vs+Kn/5dDYK5WAg
iFhNs6bdq4FkbKoaENQMKH7Cx2rdRW2beTGDmmetFY7rBmkNwxfyVWW03wO1CX2R9d0pdE/7DIFn
dI6tj7wnlWlxANByMIB1XB8aJs6urEjQKMot48TpSpjYSKmYsWEM6EUbdXOTp11wgv1UcYY80YJh
mp2IAcU4kwhiFUt5txk0/XveIkvpRfrID4LmyIimZ7QKBTMWEqKSRtdWoRVe6Vl2Mjqhfpu1ZgVk
OB+fUkWP1mN0nuEbwYCB9t2S0gczkc+HqLwZ+tZaQ5Ekqy/is1RE2b2dcCRnpRJdIsyNXAslPsB2
xcDPJoTPDnnbH5q6OZsrUL/aEIzrNDKam2IoUjjZRbMD6c8cZ6ZoOwfSsRuP+oSFn1qmKBy0C2cA
6o5qKfaNcjSRPSXfwViOJYmJJF8EnTQgKEmQrAktiFC7yRNOVyHaqlyOMheiuwoD12ggk0ZmrT9l
QxVne/gmp5ISxcG2dpRVOswEMmILK15eSf1tacj3psXjK0NcSfOoMVFh5N+kqd5rTfRC35Yx4qj1
+axHLtIzeRsCYUE6JuqTRMaycELU641m9t2xF/MjBf61I4YdOOHJtXujPSt0rd10Rly6/aQnrmEM
J8Axoxtc0tJVqreSl8xMM/RY/0RC+5Y4wboB5bpDQJd7FDkZCtTU7GihtHGZnT2NsgikZjk9J0jB
fErhDEQMkJ0wJZNXtRn9UHCbA7h8nzazgjgtaDFHSAe3STG5CVLjOhwBm+lZtbUkGaGgZeerbLAu
NHRImSvZdrXDkUD26TReBV2tDi7d8hWYG/lQZsA71p0dOKjMTP0QBuG0nebOueFjxyOtcCSaSxkP
v6oJ4n0Qy8qFMNPxEAMxzjEKs0rQ1415KDC9Oi2QkC07mcEcH6cG4JedWiLo6SRzTlcO7M4TwWkC
fdgePPyYQqaKu+kpluX0UqrMjWQse3BOdckC1yk0BdJTagYnJlZn0YXoaUWvYhRSlMoaqMqLieSE
0m1k+sTGe6galUtZGOO8rUU9ibVljPw4+gAzFS1KeoGD1GiE6T3+tTsjyY9yXBpe24cxPeUugLOb
BS48ZGRWxizzR/Fq1vTBuJqSuV2BHC/WmGgymCxVNWhToT5l+KY/ceChvTOiTLgB8G78HCw9ovE/
GY+5Hkg/5MjqLiFoy0cJ/vOZFuTMMwSBVT1LIphXQk2rtQSzDYuuCUSsXEZnrTLgZjaO6hboBVwM
/A52QRBHnpW180YbshynuDGKtzhEzndIvzp3GOXmZooxnbSdfqsqzbBVh9h6SVs+H56sUGHEhaO6
joqmpRPa5+bJUJdxAnpdQQiSIGXsCbVTF0hm78UGtYNCFlSwKvQ+xsRGq9V6kF0b582rgh3GmcZ2
PeSj0d5GKbItd+6juFh3hpTsMKEO0lscLkz7mGhKbkPpxgdldu3IqMsfs12Ni+AvUYLzWNeTteM0
FEqTFo9VyoQyfBnMujATkp1VjlrXvLVwGj4GVgE4OkCLRtZ+sI2hrt06TMCup7pyP6lA0iuB9Ksu
6u77kCnYOSmWtku0YvBwxgEspqC2FaVTanyxkgEWujH4SdcoKxv6xE4rLaK1ooO8WzUjgHknGPdd
gLPSorFTjgxtQjyu8IZD2GWF1PbkehwPoRE+amOAlWoNRZlzoghOq9TKbij/MJrfxZ2qrQqRJN8n
y7iOayor0PXs8VAwHXVgy4wHi2Hb00KUUelWRQQ6umlK5bj0Lo9AUseDY2fGbghQ8FQ9B4Ycklbr
aEuuI7sethTV8+twyrNr1ZQOvO/DLuL+n3V6R79uDuT6LDSs0I9B8vshZy7WTVmGuRpQ5SwpiI9F
F2/GumeD93N+ZZp972mVhrFdkln2qZNou3LQ5NjVQL0d67nSHiaEBt0Kl3ClvY6XYcNWmcJ1KPok
ZeivRScaCbuWEdfp5ZkV6eZdyTk0umaHU1bPLV5JYRYmbmEZ4MPaPOy9qsNej/9XbYYar5i4wIRi
EGV6icUUMsNCVrvFYcC8pCGpdC46ploBs1zYfliV8wVmcBYScF3bKKakZb6Jo/gVfhy+apfpjSFy
I9wak+AY6Mf2mE/W6aj32ppNKC+2DIJXv899J1MC3pd+wP5MGrruOIFXPoRJPV8WvdBcB0r6BpL2
fJorpXTLqHmGdaa8kQKYjigMjb0yzAMAurR6yDDV8KZAaA9qK4aV3CXOVgQSVitpVBybOqkewko2
z5hSKw8T/LjzRKqdtRnq6PWmEbq4wnsX2ra5nvhsxGhytV5dgVawIGEiKAwSjVMrTu7p0aVXsGPQ
NMlD7YdzHZzMqd1eyxjtJCuzk3GsLTMJyzXRaUivk25ADGY1lUtGWj44zWifBkN1lIukfIr1jn04
Wo7Ly2A/pZPKp05KRIQPBkEqeuKmWmP8kW2nIQpvTKXo0VgXqnmp1VWHuxI2GXcJvBAE9llu7A1g
/14faAH6VUvw7Tdbu/ZMZnsDPqhRvTeauGg9rdGa53YMQy9tTb+y6nSt4+ZyqGfdXg+l0awURSsu
HVxEzmQAXM8RA7my9/oOqnPGZokKE0qgjooZFPS8TfhcnSRBl3g2xr1bNauylVYpGNJFfbYHzV0+
vB4QYRx3p4njBA8409he1jrBealA9iaCk3nTgrSId5MiRfqKnSX8QKaNjAGeLof7edA6/UwWmXqs
29z20IOox6xrsBwDKF6OjuckttZeB1XWPsd9z1FgmgPHjN2OBwA8TXwTMSjbEIlEGIr0ksm7pjFn
5+V2zYYfUTqDAQyI6sxCHQ+vn+VKbcC09U3lvABzxqoFmfhz0chOJ1wt1JVjmsjcW2XAmdR16loR
nmYp/eJk12KhCsAvGdd5GE6HumltD+XWcE8dh5HMPgwOUW4im0HRCihRa8sHDWODs8BR8JfXK308
vP5LIg02ZGJo/K+J8FzjbRnKB+Ahde+JzrDjFUUtLgDOPeebUxEtRGNpfo+MPH3B+AnX2Kzgr+km
cn8b25/QH0ZlPMD6KB+Q45f3DRPdhF5WwkSx0pr8ltmXD9Pcy4eeyH9TjhWLx5ldrdquchS3SfgO
Xec4JJzUogc9grervgqnjn9r6114cBIgBq+3P3R650I3qt9Tlf+1xHxZ6LvA+SYOo5b08Z8Le0/t
07tfMHQUt9Nl96Oern40Xdb+kWkuf/L/9jf/8eP1v/JFzr00fP91zu1n/7h+yvqnZ1G/TbqXv/RH
0m39xsQxhU1q0Ro6mGU06J9YZ0f+DUUaaR3zrEsB+W3arf9G3rmAhxjWX3Q62p9pt6L9tmxy5vzk
ZR6WZPCPi/9nLvnLtPunIiL1ULoziEFIcokGWOdtxwn/2Hgy4t5Y9xGQ0xDafmVCOW/TfR6re3Mx
7EiLFGG7zffTAiVXph2j94ygiuouLSiXmfbcHN7cw08yXsBGHzJeuOUkForOlcoGYrYlI37TCLP0
eZyoMxvrpA+OHe2463SUxBNGI/O2NbCCxpXNaP3OwWfIbfDG0VZ9byuntZLXhxYXiJUZ25nqtvry
mjaqBO6+wG/oQSgNKHez5IBBjz5ehLYVRCsZhge0lnb0MEQsiP2z+BHPwOKqMbWZMTgw+peMK5ES
O0p6Ugo8EK0wZBzHUEcs70ewBBYqOC8XlvWtbp3EU43FrqaYejPxgxpHxW5RctJgkbW7KJY0i7Qp
ne6LpMFcI41M+SwKGjAN1ZxLl0k9tZe5khvPZVxUuufMkVq6XVNB+sO8VAdW3ONLBqWhCRnnmDOx
1TKSq1XAdVheZsSWs004TVr8GVSzdBUG4B9qYc2no6qk6wpJxWPcUt5ZtVIGSgr/E1yUCNnxTMMa
8SnNjWkfZPliv1gMjyQpAW6hjSb472FiAZUAwyi7fMayZUZBpE2gZtNyGaziAeQM1YftRaZqNZc+
amcK7d/EB2oh7xk/3xRDuye2Mb3ZtF/k0GiPIR4qidvScydpnCc8S0cV6C2y0cWlWUrOizI/6MwC
PwNxGJl5qs1kpj8qOJIZQQlBzUiZfBMSAQRoDDrxJMZGZmald6JtW0A7k6f2fkyrkvC+kLZZnpZu
W5bLmkPtBYn6kOstztUQHSQOdek8MBbaFMZD4Uug2QbYO4oYVaLcpEqNq0Yrn9VBh6Nh7eiPfR09
Mi6CZQ6uABZRfNicYC0fhW6fQRKvBsZhKyJrLS735DOYFhPSnxHQnOEveR4u1AgrzTGgye2x4aYg
bUAkAuk1l7LpMlgiJIwsLHeZ5TvSlUm/Gy2gM2Ma8nhjYFTUsoFs+26eFY3qVEJQWE7HORLhmtH8
cttqbYDrS2EDv9JwVsBhrxn9sG7J/5PIYMQtS657SC8bvD5XGAxRFrDbxbWgeDEHZmukUe39sJGk
H4YCk2Nsuqe6SBJX7tr7QZ0uMwFwBL8QBBwKRaKIHFYk+HWpUfdojnlJmtoUXqFo37CMzFd6ZKqh
q4KasBoKVBWpuhtgaLPFjXfaAUkFWxyVzbpwmtobGPobW+eyCVL+fKIUx7RyflCgIfkWau53oj6U
Rpt6gojFFQ37VFKkcAaECHl4bmk/YxFu6T2ulJLkl7oyboc0jB8x1ZPva12d16E6DESVU1lsUlNN
KSSol0JOxarExgeLTSX21VEeLlqdilmWm7cTAQT+o6P2DcGQabi90mj3JK8GGyioOzDtdlquqiJx
sGCfTHI4VTnUncHblEo6e3XCdskQ0FckuI4t0Gy8CJkerM2pxyZVUvchtHk/DfTMTbDJQmeuOlcW
pQvXwlvYryfdoVRWO+6kh81aBAr27ENqSoFLeuvcquNSILLLxdsMhy4fP0Fb8zTIzEed+UjDmyuO
83N5YORWn2hFSFqsNfjFWVd6ORd0rKygPZD/M4NWVc0dM0fB9ThhfHqA8cAgksIAViTF37AtZH5B
ntK9MwzjIcsS8xrdqoFn4UCglMYRFkyhwuDa3DTiOiyd4Nj21rzV05ZEvW4bL9UtKF4yTrwJp8Ya
/X28yifKiNTqUgYyRhTFUEUSk4lB5gmKqXDA6CTjRU+0dCrGrJxWVUauwG8XsEgZgnJLEyLTbIzB
ngrveJiShFn4hJDoh9EtbxgEg6e40PlmOGMRvHQOCdIhwF3vroaMyBtsluZ1UVmNcppZLUDDX3/d
XuVpb8u5xtKDpOduKADZ+cZ9+OZqCWqwiIGkdSdFGiamAV4rw+0sBtMt40pjonc+KjPZdVd813js
bpWJhmlV6ZjGuNxp2LsGIiG0XIbTHeF4upHnLo4mR40RdcLb7gX1N+7eTbJfHtOvf/xX4uDHH19B
pUxXEMYXktX332aztpoyDHR+fNLrjYOEHZX7Wcisoz32lEVgVZmOOGTUENxSjTe4D+nUm0Z8fCof
eukm7IN8y6jOF2Ccn5p63NZliGARHZuGheHFu5hBl0zHadE+ra2sbFdMFdxmUa65+CJ1bojkQGv7
7eut+F8Ld99Gu/+1+SHOn/IfzWvQ+2cQ/HvY++cv/9+IiWlhvtkzS8z9z1h6uYD//I+tKJ67+ql5
GxG//pU/QmIiWLwJGE6y+QdKdKK7v5xOaAChRGGuhybQqwnKH1Yn+KPQkNGZM0AjbaNa+SskVn+j
LQLVh0DwNZTW/1ZM/FMnEzkiIq8l49N4Sz+OFqBr7bIoNc31OA2TT3DjklIbJ62cXGpSw3guxMou
MEHz23zyqjsKB+Z+DnN11zM44+PfiPYo19a5El+9uY+fBMavffB37x5AQl49JDQQPuApfeiSxVYz
qK3eh5t5UIKHLCgCav55GhYrUlBcC4cmHH1KSvmOz5+cnZKAM75pwqnayYE0Xc94hvuV1jVHKeqb
BUDZ6JgqKmJLGRTzu7ZVQASFUXxIxNyWS2it800SuQqcLJFbrxNB8IOWk8N8dlQTfAdpwMdGh8nz
60tVfnqdyYtQnoD6QdoAwWFJEd6kAE1Ua8yCj8E6IiU+jkXXDusgGCMGexVAAHEXM/guzTtbgmVW
S138kBul1ONPGdkd4Q4eLXipJhcx05MbCvz2M81NZdWF5e/d6H/duvwpWdGQe9BpX5By/OOj3DGy
K7WXnTjaJMM8HpLcym9sw/FrhuH25HfDRU9h9GaMcAOc616/mJ3S3iWzhYJQtGG3CmDM7tpAxCfm
PA3rL+7jIi54t2X4gZAoIftlGJA89MN9NAWtHHuEkFjC4roWbTWSssn2alCyfJvHaX/LB/yC7knA
HDYplIGI7gtFzO/YpA8/BKfyQsHi5/jZU4BpPRRNdagR8plSdgZGN8S/LbdLP9HT+5Ciuzdp2bRa
7FdxK2x0KtIida3wZibhQWlZKCdpNat+Yw3yqWRAmaqGYaX1OME2YS+uiDBLwxXStDVR+VArMtSD
FhvDZtSVeFUmj1NTK5Bl5eQWfmK29E/S24ZCxCq3mH0fsDWrpeFICbE8q4acKJB6eg8ksIuPkTZE
kgugAY12L6wnxEoK3edUzdaBpBpiRb248Mygi25yGXtIuZZP4eHMtksri/Cl0JfIewr7naidVHLD
qZVXCSLjuy7AnAStJzpjGqZ67OKM56ydXvYdJTkyMzx6jaSpCggY/fuAYcmjraTVNq5A2DbUhDzN
DGWwavNo8S4TSftDZjTCLUHX/pCkTFlVSmrAV+H+Dm0dwL1NyId7ZC63VPYmNwixO5nBCz869BfP
pXyZNGQiYdOqXeCXQR3v8I4UW0mvmqeAgcMkj4tTm3mudTX1+b5LVZgBWpO4gGrrXd6I87FIc68Z
K4N2WJ+AxsvMK4V2k1f2UulPJp2WaFKKU0CA0Q+nzVIK1FW/U6TyWsMOwsvr/r4gd1yTmQ8buZvm
eysTJSo007nAsKxGDtnHtMkax3lsh+CBev9hnmScaPvO0I6C8H5F6+EYD2OZeZE9OccEZ4SXMCuT
6GSUHPOclvVIP05RXEulQt5LDOC6U8q9R7AynodqRIQv1Wp+bU60g6ZCMTdGLWgSjO31lJdinVoV
BcYG8xEkF1nrIuM+RlHieGGmTN0KDPboZrmQfCfmIY6qiNZUXpUdqVD8gxqEscLpL/PFYFPREwuE
cnjIMOP+gVsTWIexiagziscxIn8xBTd5hjTim4kZbHBg+C5NhOHB6FBEHOqLYGq/KdVit+6Uxsq2
NGklKJSLJOx9Q4IkgmVC5c9J0XgxGylvRvWkn6XLqEous8BoDmlje3ptdrssnbUVb2Ow1rugfU4z
42AowbzBi/A8L8NhHSFZAmRifcfLDgrDEC7EDJs6TZzj+OLEPDE1rlcqRHA3iAIFkEajnox9gDFr
PTXnnDUyKVoXqQ/DDIZGKKm5VgLRb+MZORv+87WCs0447WpwHL5UOj/4VDcusIZ2xZ4cLsopnddp
ErfHKSMFCkWlHypgmAUZACiVrPfKGgtLN1Ym7dSocCV3jSKWyVqs8REwifNNyyt9R8fPvKfarD/C
TdTdydHj0yCnarDqshTQUwycf2s085VQnfmc9l0OrFQzL+yqAOAz3YUNmQbnnXFKqyrcwq0L1lIp
9Ntam5vrKAr2c5DNe5HnwWU6Unlp82Fh2phbZWEWJ8FkAhtV1GSbOomUgpO1Y2osIupeUt7RR5VJ
LRtShZpfZBSHt8vU9TprBxgbUwLKb8AVGNvwTVtDdqH0O5Z3XUGjKskHXjeoAZh1dy+yMQ/nQq9r
35jrYvZFkFHICM00OThNI60Qm98n5XRaB4O1ixqOMagtlUv/stpHJs6eOdaRJ1MjpTgjhuZdjESl
WFXDWJwIBi7Xth4/NA6lo1qKrjCkqM71MMy2c591kZsPxV6xqF9Z9uAch4JZX85d5aqhHeTJaoMZ
txkRQsk0D/EIpYrmGWF8EUadtsbr904gFY09XFua0sv7DlKljjC5DXtJdfVCqTfJTNNcWG29l3Gx
9DDiLKBcYAqNKlOE2GFntClauORxk3sYOEW7XKmS+yFR4hs5LeSXMpyHM3xVvyGrjU8swyl3tKyN
40h/0CtCR90pQ/LimNV1ly1Ubae7n18jqigssd5m4vAsxAhrlyJuRsJRWmeVRbZR1H1wkZj5ZT63
t4kubBeO8TWfqWivaSNdfRD2u8xx1rIqyr1ZD6eJ2VxYk6H5zLSdlzHFfKkRxiqN63pnlXnnjXql
bLHCtE70cN4HPUqjLsNM2R5KlxF15gTqupUuewiuUAymYKWNMX28Oo7WQRJ8K4AneREShlVemdk2
nEIY2n15V1eheFKqqryJ1STz6XwJ19H62ks73dhQ8MUILdMTpl/1caUBf9maqRPyguqqPzp9tNOj
yrrUWzvyornK1nlG41x9bazatX7R5Qk9p0pnf/Pl67cQX9ITQcR3MzkFfN/cesZaFuRFfNMlTAXg
r3uo+r70sR1NXiY9p8lHg+QMb06a/aNRrKw2GCisQdX8UTRx9oJx7nBe9VXo1WVLO5XaAfWYQj6M
iVM2zHZLOU7XkEYpskllYu2aPhhptYe4I0ONt9XOtcOxh7QeCkzrpK5o7JM67qFYFXZI3aDqJ1mn
FtNLClT7Ucg5hdgx066n2Kqp8cUBpr+buaoib5DiQnWNrgWOlBmKk226Usu/F3ycsrOqTwbrxMw1
xiwUGzD8M+SgpERqUOFNLLOBxLbAPUenr5O36XVZWPmpEmQd55NTILUxjbY9B/srzG2IVTLlQboO
4U6Wx8pcq4NWD5CKJkqcEkwmQh6r0U5m3CjOFH0IX7p6orLiRNFwrQriq3O2eUcCU4MLH6MCS7Bm
BOczcj9Ueq8QSmn8DwRgSX+6uL/k3qxOzZ2uZMpNV5fpRsdJ9bwsbA7dyZA8K86dJzlttS2FN80v
Etti+o8mlMULW0apXxgdJntAxVqqnQyja12k+908UaTvmxCv3Fqz8DJRqMCscFQfNa9WxSz8CKwQ
3CJhwU5s2za5sZhdlg653ulwp8zw0EVxuu4phvqcMvIJMkLtTDM1ajeDCB4s9Aa136pWWnq91YvJ
x7eWs8mpE2oWY0mJLWjLYC/lcrBPVYuJdVNvil1ZmMO11uvVXu066GOq3NNdj3FarFEVfOMOEKd1
RVASgybmlahEsI/inthszrE/UOEZYZjVfysbNd53s6TUqzqI44OqBtqdKGXtkVhb8/kj8ze6AbMf
WGEBEkUS1g/6/ZG1suJGv7by4boOHIpzorjNq1p4gRPfxdw35t1RE6jJOS5yd80c2asZg2xIlsBV
mBwYfTVtrvqq105FMbWn82DNSDEAxLWFnFKbNaviCvBLnGwToKclSawiCtyX+4BiZJh5iQT0b1Vg
cGFQ6zSSfR61QeLrVtfnp2UGN8gIggjIVdpB0IqCtlEv49nB83GO6/R5cIB8yYSXz3UoVSeyDWGz
UNR8V5dqdh8hFhFmI0EjsWKYamZ5lIQp0cwMq33ZY4WwDBheSH0S74hb/5u989iOG1nz/Kv0C6AO
PALLzgTSMOlFUpQ2OKQMPBDw5unnF6xbt0Wyrjg1q1l0LWqjQyKJBCK++Ftvmy1yWpFKL8O8Mdp5
3LtW4+igo3bSk4SxVKSCmdXTNE3ds0BM80jhinu0vaY77/J2+V5k2Zc5H7uz2ljNZpPUEi6Gaomv
blpzAF7bPMZ715tPGazHcTGb+KJHhnpIo5GQhta5t7p23U1DfNEpOsFQxEL1wjHQy1A/ab1iHmxF
QlTU+JEk5SZTvyXIEZ4CuQacBYq37DvV69fg0Nkl7295IV9YjuGF8ZDgGhijFA+yKkpkgRshcNsN
StiSEdakVPQJxDtMiq9IlVzRK5TB91eNoly4E7Av9gsTE72wMrMiaBBE4byEs6kVeVNatYaoQVE6
viJ3dNHfWFEMeVPlYgz0rIo+5y9UkFaJfu/YvDTePJRXSy0PL3ozXKTuhrjfFoQftZgYR21LuDZ9
A03L9Cm0oLFiY2u0vraxpfYD0eh8lXfZkX2XVS6q+p/pCy8lvVH4h8G1ey9otd4l3Kjq60P/wmgV
xYSw0VtyipGMfu2O0pbdBff8Z6WnS7X1F+dg1Z2+rQh8a+kX3QhkKFNnJUfN8XskEuXN1KdFkOfi
c9w06xbFBsOk1T7FXTyh5eD9ckaAymgubvIsNy5mkkXvhbniN7UVMRe/cHSFb0fIefxyR2bX/MyK
spI5kwfDghSM8yLXKwy5zeTkbHyXM2o3iOQYswAHEQ0SQ0D0K8ARsllFf9Be6BKx5vsJGJLiDNPM
yx6KKcm2TsPIyfA9nteKXGSky0+2Ihybfp7u6Fs8FnMPu9kUnxb0wxuzKJcwki6HOYDt6l6u9Rwk
szeOUDqd4xIhp9H7POfp56kkNhXyUy/bzYyI7ZSQp74xG1ZzfzGcyzmzTVWzZIWdSToWO06CZgOf
T4sjY1enFKsQguM96UP7IAvXu6TENHsu87I7lZM/hU6TJ4ys3TGGRrI1kX+JCKJ09nqRxUe/tbJv
EGLdZ7rMp13qTvEDgy3lvv5gnMtynJ6GtWuvKLDvAt3Cmao+WZ4cZZ9aVPRVFuMDMs5v+hSPZIQv
UuzK1vXGrc5mQEYcTIcyoQYoEetTmpnZjxf45H8h3g9kD3QV/oIzvYN4L3EZ8LIMr6wGLz/zF8Zr
/oGYABcUFsmX1mo0639hvCgilGlfV/wBQJjKVfkL43X+AL6nmpHkEEgQodKW/uU2MPQ/PKKGOVAB
foImE7b/D3QP7yA7cn2JAwOO4vrmu7YLr6CoEcir23EoakBOHOcTmoN+Z0VV/gH49Q7HRN5BKhZ8
j+0qIyyw9a84Zu1a0slSv92p1tam7Mnbz/eJMO9sRGq9p/3JSfxHNPL95bjl4KWma2NSfddJkEtd
LGS0tjt3sO7sSIQW+gAOwxnNY0txsWZF/AHC+P5eckVTYe9kikBpvQEYx7Zz2mXgiglbEKtwE85j
EzIWf5TF8b6Vh8cJ5B//Ck+CcrG8vpUOEvWsEku7a+KoO1hUdZB9B2+PeD1e2NqT/OR4XX+HXlfu
qmqkd3H6xG/6OtrysVzcfcXQYW68yV8R4bVXuh3J0DWjY8UidusMZfNBQsn79DC84kh0wLJ4xhQ7
8foTZyZe1cKPi12m9Rf4OM6Xsrv2Yn8h4IGDSqKPwQjivyk5s4RIr6fwl7fybwiD92Sd+gAk2fOy
KQf2W4/qzGEa26MgAcpAyLmt5poDmB2ZO589KvW0akO4zdE3tK2g3nAtvXNC487m2HnS9elUx7O2
7fX1G/lZH/UVqT/9FSQMgeELPDGQsDAZbw0/qUgQH9CzvovMnDjHNXI5sscWQpx+qHRAL4nz1JKA
lpPpkPGI+976QGfkirdUDwsR7h7WFKge+qzfRu8oEB6lop/uSma7n1qGaH1dFifBb6RiXZFV1ptE
CdyrtCi/aFF7F03rGkToaitcHtMYjnLlvpkCmbwSzAO46DuqO+yd5Y13g9LVD0phL3hDAl/Wd5xp
jotS4cNsmKMl7mySt7UQHNZOw5nsrAn3a+aZYbZktJjRyLEO52YN5x5CxejPruy98Ta2CuNZVAXS
mAh3EBuj5n9pm7T/3PHfZ5T1+jO44iQvu7VdvaDiiFFv5qWBn6jS0oQ3jpZdJzPY9KFllojdrgsM
ck4I7y2rS29aGBcSWtroeuOoRtDnEDVbr2vzp46Az4c2p2+MZSi3QoT6677qi2WHHkzbk2ZRz5+7
YTGy/RLpi+JARh8cPsuPntuqQyVpF5eEmNbhmGvyR8nF7ixyn91NJURxnjR0sMtc73+aC7qlTW6I
6LLo+hohQteeE2ir2wyXS+NsCsYGc5OOKy1NxVAX51br9T8Tc4IG0Gr/c+VjG9h4s1Y+Vp4bXRJ0
O10YHpVUo1GYx6JP82ajSXsMKkmf6bZHlppvW4y9ZwkCRTSmdr0cqiIyzF2HehXfVTkQClpQWsJs
5lJ7mpgkse67SYCIiFiOW8hF99xfO1Kfs8LsnmWaaFfx4MjlmFCit5BrjDggFJ0HrtDO7rpu6VKl
Kpd7OSEhswHmz8pGb4+ENEj+SEfkoxsMU98sR44iRn4EIEK1lPaJs62T1Nsh4sm3YyMpUCbFshRX
ZpouYJJEa0bBaOUAAYNbr9uqdY12Y1v9vR07mR5EVjc/mXaTEaSSSSKH89bw3XBc+yW+WLtYyzgT
ZLhx8jy7iXJb+tthKbW7uBYgBC2zaVA1DLbhkI/oDJxVADxAN7mkwBFVXNMF4Dk3s0bz31EooKZW
kE3rLfYP8YLjdA3wdq7AnRU87qJxRE+TPNBPq0AgZxHX0TIBPBXxPck2F7kCjFaQI6kgJK8q85NW
+MMhtchDROYvCzRUwE4REMoGRw594AqUmkYLYTiM7c2iICukFWboKBjLVoAW9p55S8xqdkoU3FUo
4EsoCCxRYBgTZREmq1/fdwoqo/zuswZ5tTWtpTgUEiCjVNDaMHrP9JSjuFKwW6EAuNUA9+sUKEcC
ClKITEF1mFa414t9U4/zmbCkd5oUsKclyRAUCuzLatfe0rNoAical+SEWqFmDlfI3c8NBRaWoIZ4
8edjprdGuCb9elgN8Yk8HAHSDvUzauWurgrtSq8tzuhGnIRz1xvHafDKY18LeUEbdbWzIMyI5gHQ
NF3KsKrGvDaBOjEDgHmmnP8dhYNquiFhKsFG5yx/bhRaqlfW+nNWCGrJuvnYKlSVVO8yGPvqhmha
d2ORlBlvSoXDGgqR7bgngVQoLV5Nl0SBgWrxFxA3VXgutbLrzRwtrQzkC+A7lcVn29EtjADplalQ
4U7WAMTOn2AxB49dqxDkFih5SlNAZRgg/w7sxg7w5aEtNFCgOS84NIeey0Jh0znVUh5gtZ2bNqNR
XZ1cJwfK1rPV+dzkRn4ZUUN2ShXmjTm1ORuTfgjqlKOTNtXe0VqmcznhjKzqIr2syvRmSlFVbtwX
WF0qhF10crocFeqeaIJ6yD7tIEMmurpewPkXnN5UkL0rDYSScXEsFZzPgdXbxbL7Du3ibSmPbq6M
vJUVpy5d2zeKEOhj7vWmeOEJ1qUtsEUxVmzkDH0J4zAjgg91Ma/n9uz6N1XpL2eG2zdkAtvZmZd5
1kPCYrGn3YUYbgCYc6OnNMqDycgVpTEpcgPB0Hppw3f4ZNMehDZs2qHGWGVaM5TQquiRRhElsQdl
Uq5yeSywwJ0VilBx237+iuNyDX2SqkvyAWrrvMcgx+aZsq8IbHZ7SY74dVMzFWaKvCEZat0ZitAR
RYFV07OycGxoYYsV+TMhpN+mpk5MlanIoRgB866fuzo0stXaRFbyBfCV6s1uWGlSU8wSW7L9DVND
TYtZi0eoLLpQpCby/Dni9yfJuk8VSWVbzfNYrWdjvT7lEt4UG0lBLnk/AyNEzx3LUyjK6tbvrJVD
rHVtDea2SJL2qSQnek+UOeStrAEl2jg0Rmyva+Jewbh+qhSv1kjzW2zh7xgBE8KkUrn5UU71gmFs
QX00HExIzJysyNElNs+L4u9axeRFOEvIYT+zU+8b3FW0r/IBxi9l3y7cqdpyO7+WS5LAdVYY7GWv
/TC97DYmUDv2MehJkRShNNjbKIFLf7iNNI69wv9TP/FvBhzCGzsVMzngCN6CuO5t3DzEn290yUJV
2O6wywAGXJwOzwBgw1PywoIuDsDwqqjRhNR/aiLM1n5k2nAv11UniX40eWUO85AV96nWN0XgQ71K
xcG2orPuxkIMDU7Z4Trq3UFSdmq3GLehctuYjADgkuITBXzjV7/V0itInZyy+rpO0xOnfrQoS+J/
WfPVtaEZbWyqPWajB96E9FgkFv63QquaH7kjeIT8xOkf1wUrr6FN8z6VUewRGob2YCOH3KAM1rJx
f6SjhcjXWHucH5gxG2aJ1GKmSyV+SDSrKI9IYPfJuqDSpim3uBXMKydx6msNvwqKzrKtHyJXm/VA
OrPZQJ/7VbNZmjS9q9MM0QDmQ6TenXSzB6usKHXBpdb97IYB3++kzfiFrVykNeW5nbwrlKoBKU2B
K7caAmctWIWkZpzDFNiXKeCHfZZbsRdBJWZzt3fL1rkQIs2+I+so4hCa0jp2bm+dU7AgDjK2+1t/
KYn2StmfP2esAdvO7qtP81CHVmnPJwl7025cva9YsvToy5KT/QlNOZ26rJgOyH/kRbr09jOqYibM
jdNV/lfwV/GzKJt5z1O+3kxeHB0qihmMQHaNtUcGj/+E997YEYm++BsIHA+PWrUCHw/FGodiyZfr
zIzd8Tb1xZIEQ6qXbIGuE8Reb/FrOwrd58HzJZUTJTXLTDlyO5gsMnWf5ec5rSjUxclqfjQmfOp6
MziJH0R9r1ubFtCVpCfyLMt7MMr5m8fR6occxPLJAPb1g76QLYnUje8EzhyDa5qtrj+n3cwazphU
f2riqsDghZWggKUdFmfLusEuvNQ+32W01LdNwQOxX5pau0REAwzZlHNBecNUhaaRdI9aYvqPHb87
CcEvysDti/HG4IxwltZJf1ulq7YvlqI/9yZEtR3y15SBem0QUsN3PMgF9yRD1UCkPAJmegsaFO71
0bao8GXuXK11W0bz6D4UqcMgRgXghfliFsVZ4IYK9c43fLXZrnwxlsI2Lgg+EmU4ZYVX7tP0xYpq
STKL7/SuSIoHJOuQyS/GVX/2MbFSLtg/5C/O1heTq6f8ro2prK+2csFOyg9bKmfs0rQE1cVYJdes
j/LNnJp4aPFsX46tMtZahe+c4he7LUfx5tOqPLjZix3XUM5c08+nQ74Mh0ZfOIUo/+6snLye8vT2
qUwx8Cqjr6s8v6aokmCM/froKkewVN7gRFvbDcNDcgHCP7InAHXHVdvsIuUr9pXD2PzTbKx8x0Lg
QF6VF/l/AcL/G1+UAczzn31R/13FQ1oUr+FBfuJf6KCLYNPk0E2wssfRm5CNf6ODrvUH2fFEW6G8
pK8Jd9L/oIPiD2AmVyfyUzjAg9Yv6KDAFEUmG2AeSlCiTP+ZAlRhcr9iExiuiGK0GSoMkDv+ew3b
rOVYDR0+1KDGjB04evo59rHUUmDwrfb7Z5GKm6FB1p6YuTzrRojNxQaK/+WO/R1281a5RxYkdwEJ
KvlbKFHfJtrZNM2gnBB2MFAhdhrEeCYqBMRZdjdrHWC3Vm1F5hETUdXnmEmn/QfXfwslqut73GWB
HBe5txL9/opc+ozkRjcwVZe20NIA9MTaSoy9V7J0kpkD19rTG6uREAWa5ulw2aLRyF/o8mk3FZW2
QfKSMp00sS8DkWdJ4DYDkQekExyKQso6+Oev4kX6ra27+mf/Vkb9Smt9Nf5o+6H98V8XT7L7r91Q
fX/q07p6+zOKJfj/TXr9y3f4DpX/73Z4fv3K/c8b5//B12kTMc2bBRitvsx/4fGe/gdIOGA7z5oK
O1f/9Bceb/7hmsqbiCLUAMxXWeF/4fEmcmyeDCW8VopkXsZ/gMebCrr99Y0DzaUDgOpLcGvgwLcp
qJpAjUhUC0jVZJQ3jo6dBV43PkyEBinZzlSy8qfl3SC0+MxYmmHdO1B2W6mt+V3ayfFMT0vVhozQ
i1iYjCCWxrhiH5JDYPCen7U1yWguyNotR7Lq0yg6Ue9MF3jxfx/CmHfjlZhfeT7+8+J//VQ9la+f
Q/UD/1r7Pe8PfKamcG3C8YhoVM/UX8yQ9QcoNYgwLg0M2S/GgH89if4fPBdq0UdFDI3CgvTvJ5Hf
53smwca2RaiV7v6ztd/k8q+fRP8Fj+Z/OAB4EPnkv656Fc6SzvZnO2z6JNn57A+fTG9BJUsdQGCK
2UQlO/bHERTJ2kYVzixfuu6FA995bml6HpgD8mVydUbiGcGSegqQOzyixOL4zLx7N+H3xGx+dALN
1fGXG/03e8ZLJ8Gr98jnPVKvOFkIyL2tN2s2bkm2yci3wkJzxXWZROnJ90sz25bxkgZ95XypMzx8
y6J0wF5eJWcLKrqNJUmn34CFO/tMJNVu1NMdLis7nG26vZq+zM8QWNMX7Q5fu6S+ddCPPAJgciBL
OR1EhacHRmaRKWIivNoyHs/7xkrGU+LrSxBx2ApKn7Dnniy8S30s00Ndax21FNq4ywdh7pq5zk5t
Wc4f0GHvYrxoHcKoxEQBYQThoEM2vvo6i6qkaqczwmHifysxB/c9zQRBLdIZSTwVdV5bBN6g4O5x
fNDAOs8WQ377/feirvL6a8GxrfwpzBSqEuHN1+IQx0fSFWC5wGJ2V8i0I8draOJT5CftZkmt/LHR
V3PeDO34/PtLv93FUXgguKeAAa8NvaXWG9KsTmSfE/1PmtpoIStsnXqjT8VPzRMPtlmuRz7AR5OL
Yvxe/7VqQFO8r+tQy6De1V/vOWFF0dA3Xo8iS3e3pisekS7ddoLCsN//be9vKxdiR2NrcwwGlTf0
WiWZ7J3V7UM742SF52+t91Ht9DvwTDuYidAAgRUmEfSZ80+pPe4rpR0oSUnUp8zpbShbxEMVSzkQ
pBVR9FLKRobCrfJAdLEXFnp7J6uIuqWiCzpjfVAg0//DH68S+SwYdHJu397lTkPGG41tH9ZO9KhH
9RNCwMfMAiRp0B5NvQEF+lFSq/Ldv/lmcXCwZqssA895+zalhFzoFVZ2Uro655imMXkSuZD3v/9a
3z8/ACws5ga0GYWTb4eBYba7rvLQ7XlYSAOk2Yjzl75DpWSn299f6h1DywADp4GtDEkBs8zLv/9i
M/LcacobGGxltz3h075vDOeHBm63TXVdbtasDTmgImkGszX77vMHl3//dhItSswD2yFFPcJ5szx1
9opUwuLyvWV+b/P6XJ/br57ef7Xi4WBEYPl4LRlm3ADN0idd879OmU9V/UogQDoT4xcj6yTcK93m
3pfff7a/+RZefbQ3Lxf0F/V2MR8NXfSZWfnXvt0/89Ucfn+Zv1mhuQUQ+yg/WJ5Yql+vFq6G7x0N
IoYye/7k9d1e1NZDocA9MQxhp2U4wJILMeFLB4ChiW8W/zTQm4cAFpg8DR5s4h49NRP88hCkwBJZ
Pcw8BKKpQw+iK5ik1Xzwl6pF/vXLo67CWKEEGsrk+Poqep1hz9VHrpJ59/Hi3fVF/1Cx27ZzF/7+
pv7dY8ULhPyD5dF5F+uR2QVVx87QhtYq28Mae49pTWqXieh2T4Sfo3qGlw/Wo7/78yw12RmQBkh0
3nyPfkuO8Jx1dCTI4S72yVJzk5byBA8uxfr++7/v715bkxBTj1MJV3p3Nm5I1DPhjNoQPwOeIa2Z
t46gzyheoAwSmU17FGTjZurFY00ZqA4s/8G3+bfPrcW5CH2GsHWOQa+/zmGKNL3pKaptXfvCZ7o4
pYi8d4QtBPMy/Fj4Ws4NI0uDmdIN5tbbdGy1D+75334IgmJY/zmoswm92d1hMevGTCr8HXP9SFXe
7WKYF4vR30lDPjDaEZvhrpvG+WlTjWPNNWP7vwf76z8f3l+zSQ21Pr19pkEnWKQYbsBrFIbxy5tD
i1A5oKlsqd8bobZH7dzP9XqPRDAJe6fadYTxjzkKbbdBEjr7PS3LCUe6QDO1sO8hlKqFDEubTpKo
0QiaIbmbBOZK/xMb+I+yqPcPJzCGbjGXkiijG9abh1MXlZesiLPYuOz7lNrqs8wXew+t1GYdSYT7
/W15v3SylaD4AXK0eUbfdq1g0nWHPivwIznd+D3P00+Yuayfo/bRePvOEIynnZQgMmFdj3Iiw3yz
pmRZZORzbush/i/EqPJxJVpqu1Td9UzTNu4Euh7jdql2TVkh6zH9gJrM6UBsWzDoWKMqDAVIRgml
rHLva++K8dBPBMzIqjRJ2mGYMJLkph1VZwwFMhuU5W0g+wVZAcEUnj5/iwHof3/33n5Xnq48/Pwt
vNo8VW9X42moElcmzRoOHKBCxynFzRzDmojVjjD/VR+ty2+Hmj+vh9yekycHSV39+y/PcFL22ajL
lswQDganOtOdmy6O3A+ewLdLsroKWKIQOllLamZ9fZWCetgSymMNzWiF6ZPJ8zqnX3tbnnclfk/C
zz+44NtXkwtanAOxiRs6WeCe+kC//FmznBKBWmQJTbJyH2WTm2EyNE9ma3wzCni/ciSjLavt6oPr
vtOcqQszE+Np4vo+q+PrC+Nk67NeiDksmopKeXYhs7buot4jzwOR9pmJtiNzsnux/kxc8QlN95Ur
aG9mAsJp/mhiisOimtQfrJVvX0o+FgcF1iiP/kfs8282+bmK+67iXQj9BrtjNMf2EYqQInu63o+/
f4LfJTZzLUFwgDoAkU5ivW2Nyhdt6AuMOKyBcbFt1yrexpYMbI/QVlxFebiSqh24q/HkkMq6kKi5
5dCpkapq4xsp4GOnj3I7/uZxwOCOQpPtgjnrZSX/5XEAx024Vj6HGWzhDqqv3FpNh8rGW59Qszxm
AzK1OC2S3Qf34i2MjTqUTZKTIEFmmL+dN1sEmA3r+ZxNhMHnP9EGke9D8TsmYdJXiNYR2Xo+VUN9
cgsL4IGSAY+Uqab//vuP4do8db/uVOpjmKQ5orOHQXj3lQwFzFU8aGNoF5P13ZHRl3xMrybdHPaR
1//Ip8G9I0LMiXFW+/Ftiy0SlHoNStNPbjTRHmE0xfkw5vVhbr0Yh0qsNIAascmNjbXf1tb6xtPa
5ApFoHMkG8c4+hVZmDUt1V+csnEOtbXqX3u5mvvIrv39kAwDB/6q2eFN7LbdrG/KRZZB0Y3lZT1V
+wbFxdZcIKERAJhHJHTPBEF5Z9RIWk+Ieubbvqz5kJR5+7Rb7CrTfGgma75dCjJbxYTjznQ757LB
v4NKrqivStq59gnixhCVHequsS2iICa856LIoZvpYQCOcPVWnObJyO9zr86cPdoda/3gZXw3wAEO
gUWQ1qKQAjQjbxYJbSGB1hnwD8SVdefE9j039bn25NehI/cnVcKYtTsgCwnjRfv2wbPw7lFgV0YO
i/iTN9S330xuUK7Czot2DPFGON8F0Qf3phFVh3LVH5zW/6h35F2aHX+r6ykWxUC4rKqRXy+IZbpW
InGLkVDoOHoYDElHeeo5ARrT6FuKgiINCsIct2ahzbfuFE2fiSrN7pKi9U6xV7s/x2zkQcxm7dSX
JBdstCIlfZbEOSQUkVrNcn2Zb+FRzS1aBPKcPX6R7nT6Xlq1gayHfNvf38L3q4nNi4uIn1BkGIO3
lRaFsyx+O6F/xaWCK1O26XXrp+JKyJlnx02iIw74WBnvMPj9/tIMAuoLev0us68Idi8+gU/6xpsb
mhhRH6Ps7MMoQc66yzO0bIYjyqNZC7RfUpKhWac50edjPHt4zlKn3LilVl5FTll9n0UKo1eRozTN
aXqsOocs0siJQJDwvZ5Q9yyPwkVXYcrxZzHMxmWWiO5k5kZxKSaDk1NDYb2NfhsPUz+U87jT0qW+
JvTgS2UYl7pXGAfTrO2TFDVCwqm8X/3yyarIGiDHvz5aXWd+RjrnfUVeILeyrlUmhoUpGMXkQTpm
c90XprdlYvFvCVmXl5NtdoLokwGvF34u66j5RXtIRGbe1aoGNxg13ITstweMluSQ9rqxzyIXPzSS
io1VyWbcpGwzj0lZT/fgNn6Yo4UjoW+pMYs2WZxtqTnU/FBaOjeiROVynnZFd6Xkm5gk67E+RQSc
jBuvG9cnLR+0J+Zs466bLOfJmRtkPpqfs2sbHblsWW/ILzNCHcLGphmP1VDssJavJLGj8ykisdwQ
yFpvR0lqmdaZHjh5hpokMT0P5dGA3FyzRt2PN8JZnVBiDrOCrqmayzYGTd7lTRVtkyWbLwh9qQPK
q+Jml0niCbaRppku0uOee4Fa4K7s+zbbTLEuv+BLl7uuKet0Y1iaf2mkhrygtYDc8zatvgqrSU4O
yt9dUaMd8mP6gVSG9WZ0vT4L2xodLDHCVfmFWcZBb9KmE244JzsQg+gpw/AQLlbdnC15lh3MtMm/
6/E4XKPscLdL7tNlaEx0E5RzdrbYRGN5WTrBIawZcSfEkXV6yaO2oIRLpIGnUkeFp9V5EvSj7xJt
2wntzCgS58fcL7JjkNBjcjA48SKv6YG59imSWUJ60RDiVY6IEltaDsW72h3hKqjmypndEdNmKJJE
c9CRfIRZnmDhy6izIGneIom2Sfe2SIdLlNvpWZLF4lC0yAJ1zUxaxFP+SB7mVCxnq7fEN57L0LI6
0j/PLXQZa5Z+MrDTnTcOaXq9bPWHliJFZJXSIetioQig1Y0y1NNqOKOFuAmayvXRm/jjbm6F9zUd
XARVlT03W3vNk+2cE6WcDtXK9lotF5E2Igg0tV5s9NI3zyZKLbaY4kNjEQPBbq7GS0bqUmbO8syu
Pf9hGUeSeCJnvm015guMxKK5aJci2tUjqr9x8bgjvXHZV3GDjN+0LyJ3Ceemm87q3PAu67qlvjAW
RuD6fbrvCA3vNy2KORcdtaOd9cvUXDpu1n7iNfkyeK0VuMgdA40zxb5vTe/o97l/potUO6xOnwar
o3l3ad57dNRF/uNsZPPtnJjrN1nwZY7xJHaSRfM2B1++GHTZB1WRi0vSzd0Lz4vGi3ZYvWeTXeCb
X2l8dVGZPUonN/EU8Z1OXe6GxawM3umMDJejWn0ypJ/MB6/P86ArW45+Szr2F5E9wVZhszPu0Egx
NOD5PBi4SbZpqjcngafmSqPs2Eclfj2U5nxL5GF6iuas3o0A+zvTi+hCNIUW4td0KXl0xIn8A/Rq
ZfY0ubM/bLAMa1tdwxZeuM6NW3ZsRrL1Q5M0qeuUI+p1FecR8R4leq2NuWrrVV+v1sXUexmuVKNm
WMxyClhJ4slTkjwG68JNnbHbuMV0X2lNiK59/ZQS6XDpZTy/XKIFNyXu1c1yIkDbtiVk+WUXRJAK
3TXSiMKBJDXrKYzYa78UpEpe4vqXX8yhzU6YSN3v5FsguGym+mR5Mt2X6IvDsiLPa4O3mZqoiRvx
WOs2n9GYx+qSAPlD20fjWVOgC01EfDX6ot0RSdSc2cCJl2leiBstQ+BXLUNzO5Cg83Vtu/Szu9jL
TeUnn6qp1n64q2ez9qCZA0MzLq1Fp8kiGyv8z+tw7UVdYhy12BgWugGQWA2yU2mfZJZ7VzLLWnIW
x0rcAqbIs7XMzZ27CH6Y8cS7Hz1CE8JZ94kjrYZ4nA9V1cY3RAPN/s7r/SHgDk8OR0SjMgJQ2mwm
C0Rqm6khs2eP0x6fQY50bkOQijVv82Yk63815C6SVXUjc1p/t6Jx622btffFrE/bpG3dq3qK6h+Z
oc2fVbwNl+7GaTcac/SZLvUEK7ZGNM7UjfVjBjrukaWkubj+aQ7ddX6b4zxJev/Ue/r3dahVn02/
63OaYS3EwrSNRM4F2SfZZ5Wms08jj6DIgmJAcm3T6RpwfPzq5Vr+lOsl6kw5x7uysjBL+PNk9oj1
zS5lFdfWL5o9Vk1ALqWQW359eXDilfVGL44Typ8b+NH651pZ+RZxeGVsuF/TvTtby7XURlCRGJcC
+cJ1ST2JtM6MJGsoA6iG0+jCyeRyj7NqCkmRsZ8m3+wprbXm+yjy5bqbCVa/jGrb+qHr6TO+aO8q
7p32uyYL5sQBEdD9TI8EMR8qSVwaM1NNLoV3v64mxGXt6Jck2eZHPxtMgMd+vuMc5G06mRcnttTi
y7BSIzGSUov1v8NnTVxuW8ef9Hw8cd7pSArRDMKQ4lPRZjeuM1Ybf6SdU5t5WUfyio+gjsIK3YgD
zt7oNWhuOTGDOnN1S7KFuaddow8SGMivc7aW6QOixi9Laif6jk26ijniqOHCHvmCOqQ/AEr+2TKT
csrYfyjnFje5y5lnj6Lxupi0CtWiQ9nPJjEbdjmrs1iCbatla/cqeATuCeUR0xTRFvEyBflDjPIw
kc6xxpy9okQsm4Mxp2eCz3jBuNJds5AWG6/3HkpHzTFt4Z9o/C42ejbeTEac7ti6sxMNdCd9KIlx
dRuKO5imnVLv9t7ASE0cAtrWpDhgxClZQDFyc8zrNoPpfa6iMpwSuKlB8ww2ZPNnxDN1cJxq3Ui9
dEISVcNSG9ydTEpy8aNKqEqdRzcbCCNGT0vfjeSCTp48cIfy57JJKnK3SfzJhRdfNn7DdC38Y+7Q
qSZKsyOMVrjHQYFGbZPMn123TM+6ImYFaqPlQdeL/kQwzq6vcVlNBcJmY9LrYOhmFNxzjfh/FvlR
t6x9MyC7tbqJ4s/6kMp5Cew4u+NlLrZ5vF5S2SuIqpJ52C3Wde/SyJPjRbsRkUG2vzPTzDIv6bDr
06S6yv8Pe+ex5DaWpu1bmfj3UAA4sIt/QweatEojqTaILEkF7z2ufh5kd/UkQTYZ2cuJ6UVVRCtU
hzj2M6/p8uFBHfMq2ZRl7t8NKPAfdBqGj+BzM2eE13k3DuE9bxs6DswMESy4aScpCUc7w66QGEcJ
wOaie9T7hl4q9gk3YRUUXzuBzr+lJD9dtO8PcUwBa2U0hnXTT38gl3XoLTUsGRZo4SprH0HCiXpg
ras+KtEKQJTHbIt+73e9Tj3Ma1747xxaTte+pds2Ve2V+s1L3gYTXVbkz7tVxq5F32wgIsObyQFV
pBEnu+GN2uAs2lU5a+i5xTpwkzuUaZQ7SWNvYraCupWabt0Kryi/stOFC9WYv979FIaUrpHVHe58
TFWAeivdDqCTeJHg8N3EqTd8bQMl2Ik6kh88+HZOq8okOVkTScZKkbs+WdEw7bk+leHGHFUMBUtt
eDE6fLZCOwu/opMLrAON7mpptiqyYgB19VvhpZFYwJ1C7CST2PUjiRs4W7M40CMJyoU9DMJcICzO
4WlGJRyWKOhEG9tv/bUngDQvO4jUSIKI8TcSZHm3SjDc4L/juS1xelEbD1C8BFvHKrM/gCR6T60U
5TuIL9jIeG5neStKFu1jlZPnLkMZUSqcGEAKZ2q/wVMItywPrqC9zMoRjFccSjex0KC+NaNBAJCh
6Mxkf8/B16wabURRGn43FA+t/wqHUX/r2wTyZqFrGypZCBn0crlSA9kE0Gx1eQUqZchjp8OaFjWU
Xtp7owg3SpSGX4MYyLFSKPYPbB/Sb0kroU8zGVRk05uv+CnhSxwwqSMcE2NRm5kFs4NIEDVIkjCU
cO9lI0UnwRiDbZWpKZVcPV/3sVTc9Ym9TFsdmeZaRqul0i0Hqy9U0+gFDfU4rBPkejaKLVnusqoj
d90Fwty2iKevjSHOfw5sr5XsmfrGtXCY1YkaJ0GIAbpe4Q7Sg554MIykJkc0AjBNrcEIi8YELDSC
ajIa6JmxMkpL2bthndMZQyMmp869IMGxNtWYooYegFQqYnNVdTpBneh9CH9uh5CPV25ilcVBlHhf
2MMdrT3ldcylX2Yaeq9tJ4I/21qWN2PjJT8bKQHegWQ27Jo6/drFjbev9My/GaSWux0y1wqTD7HQ
tQ7l7y61lSdbQyVjmY/6YpCmn1QZFHra+MaqSyVf6KJMUZNDi6aU2uKmtbCIF8R0dZ1L2yKPinWq
ms1epnrt9Lrt7pVRxI4n1ZigIom68qycwzqJkKhe2h0aLitE0UvyF6mCOYCzPAawYwlOhKLrVq/t
voVZEpj0QzJ4Kouo8OpndRgNf2HAfO4WUeIX66iLnZKSyC0WLNaiFHjdoLzljKIkvPVEwyyKTNt1
PULdnhiMRRaI9pumRpin5RK6T24Vs39TdO2osKUHKbF570p11frPo675e+h2GfrqPgGjG1u0b3Le
00VrlUR3qSARCJ+9LnB3riJ7q5SSBBWI4cmrAmM/tB7CiJbtDVMNudm5Qmk3qUjgJyK6tYlkriQ7
zpIKssGYL5m0zKEygLEisfs6DLsIQiuKizny2Q1vVFgp5k0Z1XcN7uoLnp1liy7YT49OPYRm94et
QgsaYoNiFIC9B29i1lAZ0RaT3uOydd0b2wRwZtRVtxnd0F4LKduNY8mTrUnf+zKEs+L/TpVJt0Wb
krguU1d1OBrrfkTuj2jBdsoaObYGAfrOLcbnNuUvCz9EZ7/HsshDlj2UaV6RqyyrNsJ1pfMKyiDD
yIm1w3Xum9Imk9HfzHEU8GlVLHwY1U7RR92NFVJgVDUk1tzJ5C52B4yORLqSTTQF0Js1bxWBcCYe
dzcijYI1wttQCn0Fatgg0zoJ+lusnT1uwPirC2l4oaN/xRariXd7RzXkFxbhrfbCVybqddCjbaeV
ztDjOobKwG3Bi6yt29LLi1UAO9QFMSdsQpRxsPVFY0IusTSpfxBxWO0VlSBoHMOFyU3ZLQpNRxgw
QC31wRrL/lELCnhFOYplX1GuKRaFF6p3Fhn978A20OVX0m8jPcpsoUUoS1YIn23sSsKaVau9pRu4
jRP2tvaT8wQzb7r2UWhUYUcKtV7kFItwa1KdNLVrcHvGgxsb6I0qrfjWKuLZGtFN7ZIkv9MB9S1A
eX2DXB6gxjJE4L2U8QAfA1Yaq7kN4HMtA1uQmdltRSSETWyseOTzgbD/UKvxJYZxvI7J2nlFsRfA
N/IXxYloWdjBi9pLDWBMv13iAferccMNtx1bTiO5prypPuhqq64DJPdvfVOzHoXVWHeBj/OPkjfh
FmxccudJym5ySoCgErv+Iu2amPchDl7dYch4viP9rvZr9TbGmO9OLtCdrQtvI3fiu+Up6C6mxA4w
wfVboy8TDldnbA091L6bSt9vlaZatjTK71pCA4CFdf+n3Un51yzEWgr2tbl2R2XcU2amf2AIqmV6
b+ZQUYtqC7I+uZOK0L2t/dj+08zQhQRYiUUB/ogS1bQYQEG59IpU4qXwZSN4qSnyoMRkwVH6qY8m
D1SsGAg5kSCLu1bWCIg9nKRyufHfTGoih4Iz8WiyBgevK9JDKovBWlmjWf22jcFnOD+kLTHU9TYN
B+/eNCGz6rzJv/owlJ7yUkR/uXky3PSxl/+oEhF9hXgFc9iUqWiZBQ37oUNouXbNhoZ/pa4iijVr
4flsnszTV6IsLI6iWn731Gp4VjBKdXo0AV+qUcvgiDdo4tZN4G9dl8DHC+XwxoQju6ZVnx9wj3Pj
NfkO6l/KYBxgjHvk57W2bPS+w1PZz8aVytC3uH0EdNDKZhcW79pOIdCtCgOtAS0uYIFtfWdHhlh4
7eA/NK6UPKE3W27LQCeqsSJsC9cFLDVaEORH/VfcYNBpwFyJQjvWH/qbNwYUKkBU2us26VmmhpAh
PCDKjSiTZcZ/2iXv1Gh2mIv0EGCeCwOWfiGSfDnGifaaDsL7JhHamNlgr62oyNC/U4W0sopisgbr
eSaSUbKXOVJ/r0ElKKOZvffEHf+Vit5S1kiJafkTmjxFVB8J1PRNYRROL8oQwLGF+hQPmGXhFaH4
8lJR2CaNHf9RJxQfqqw3aUJIf2Gy4S5kP6fCjUT+ODbamrL21qfZsIQenq4kC3NKMI4bu4jqV4gd
O45u87NsKNaUcVetMt9oljJQ4DwrqAi6SDwWfqDvIz59gZQlDqqKlDm+aWfrsccONG6jeudTxV7p
PLK/ZZcnutYTdaONuv576BV7qTfI/jUEeogEE5h0dnsIcAW8mQCgO+r1EqZ5qr4qkXuoFlqbYKll
p/HS5+/t0YMTGVNHpY8SbPXUoIiyoHzV3uYeFwVKCMpz1DT2Wm6EscasI/WJcj0So8pCycyoZGkB
aNVgM/XWY0FZ6+Y94R78tHvx/FS5EQKTPq3CEE0eMn9rhbHOs9tZh6Ay9giYxz4ib5sBBQkMbMC2
O2qmNk+KpiROqw3thmJ1LC0AQIeOaGN7q3UNKn0ChzEkvMy3NAyi76VSV6/U1fBx65BwCFeh6meH
pO2rXy5dggNS0mKHnIVyh5NvfFOMRv5ge1HoYAiGhV6K80Y6+K+XGy4nujsTLmKSR7EME80mcEbH
/auOZlTky2qxxohDW+JKNgkL2C9pRE06zu9TPH6fdH7VCz2X3zxPBC1qIptA9USsvxlTON15luGY
Bal+LMcvqKpm+yobcQ0KUp/6mm5f+c1nOvA69zxAEmHQ8KXhffybNSpMbici0JtZqL0MARYhfi98
koA8wu8IoFY13Thqk/3yBQepomlwCJNKu82tFPsQFdAnwdE1WfvTvplugsRW4JeRDirKrPUo5BQV
BdPD2J6SdwXShH7UI9aAPEeFjxIhcvoL1D3ja4CkqSN23DHTAbjAkZi6kOjgzNqtpj6yo+sAFehM
ifd2hsjvYGDXgU6d+ZyH4g1k/MsAnnhplWFLikCgrtMwWNSFlT7EYx6DWtTfKD1EtzQirbsu0LKd
WWBlM06OdcmoZsBn5alJVSo0E1D5W9Hs+KsEfLugom0SqeVcA7Kn/nTL4s5Ncd9UcmWd+p3tJOjX
LXXa8yinpMlPaYA1YKKwvocKHPEujBlpt2E8U47ByaAd2x9lpIyr0sUvWgor3G1sJSaaSX5YUA8Q
hAoV4+fI2UHBhQK4NnrD78uH4gR5hwkDyl70H8E2GKfIXXvIQIx2wEVzSR9WXTk4NoJcd1TiIweC
O9WgwjD9ibAUcN1EvwLFwHQ41LvoSj/0BNgAsEJF4wmQDy0c05otLWqZch40crauB2E8GhjZ0KsQ
3cP79/6fEN7zkONZ8jNr0rrETXDOdeIg/QsQeUq4gymLCN5/vaW//mvxVv7Z/AI/+fudPrv79f//
H3/3b8Kr8gUc1sRrm/r/Opjcf5GeDOUL+nA0sQUAyom5yvr+Tb8zv0zEJgxOaRLAe53YPn/T74wv
IP9gu9KQ0cEUYyv4GfrdHKNjGRMdi38oQHQwm5+uj4/gIJUyXx6WA690Yj4FfVPR2bKGbDnZiPwp
cltFLLiN3E0nK2gyY0E/LOpuQDwhan1zp/Z2QcWudHGSHbVvliUqHJnqvk4XAfJhf0aqGzvuiLoy
Ykypdfdhzh/+cYt9BKG+s2c+Xm6wyBQwPRN0T2dG3o/qh18vyXj8DpnerfxGH95ozqhPkaEPpNI2
6hm+bZevSkuMm8VuAFc1UVfYh2wGuQNoBhxS25WUagI8jS0lI6VQCM8aibqc51NQ4SG7MxVreGhq
0X0XpTLoi2IU0gP9lHFjwjVfG2ZcNouQTPv7SGIu33txSrldRqvu0QhD/8ZVUwr0KLcEZEtaHyzq
AW3TilDyGjhiDnKbpoKLBAoY86EBczteSKUhLIrx/FhhregSRPrmoullCZAbTJzL0z4HNE5DQU0w
QRvRDpLtGZ4uyBJNgRiGnYg5gMNOc3lfSS4oFpuOiFm5puM16ePnb6H/9RRfTvm/v3Kmawa70erj
PTNh+f550ej2FzxBoReAoAX4b030+X+yK/kjUOKWagucNS1d11jQvy8a8QWWrwKlCYYYQOIpwvv7
ohFfYHDRXICuL3QLpPenLprpIvl4VPlRXC/gdtg4IHvtWfyDJ16VqrkmLUNduaEQ59WrkFLgeox0
t1nz2mvlWnJVaaQoHYzBsiIuk5a+ppf1IiHn3fv1UP2ljy2iPHg7d7/x7sCgqMw0oDXoNtGaE0r3
a/KkWJRIsLxkehrelhhWi38goD71IP5v34qQSC/tRURG3n6+ZR+34vvf+PvRs76gsApDjYeFK4lX
71970bC/8HDxfwtVBpfPPv2fvah+YesCbIJKAhOYN+l/9iJPJdGzDAuY5xBssfqZvajxLUd7kbCN
u2tChRIiETjNgKlDIGuSPxrqSgFS8mssWv8uKrs6P7QAV7ZYrBorhI9TijmYc6aj/GO01PDQVr1p
L8VYYKrpQeUdrEyx8ZZvxWMgGT26b3nZLTT01Xy6+FX55Ckt6NAUpidhaWbS/7SreJsqSwgB8Gx3
aMC7oGMsHlu6g2tCV9ugEBQcQMKSVEvB+MPSihKnGUgm5lquxpVpIVynZTjEksqQZC06WlnJKvSG
0l8O1BU3+GY3n4Tls1goayDIAT+KIzxRuo9ihNEPXUSD1JXUxPsMEfFl1xqviCb1wIK6/B9ufv93
vD7Gh0zhv7/pn/3fBJU+VPqjy37SKP2bSq9O8SF5OQINCsDuiVH2N5Venk4R74BAJhdK1hRw/vOy
V80v8MJBv5INTn9n+qN/Xvaq/IX/DEoqpjmdh+kwfyKqnCcmHCwLCgJRqqa+vy3HG0YvO3rGip47
NBKzpS4QSUeBMt98mJQz0d88DPnHKEgCEDzrPF3Tn38I/jy9aTTRi9wBEbpsawxgaSQmSxyzukWf
DSmkd81fXh7z7JfR4ZMnyQGAqLObY8z8cRw0I3cSTc3WQ1mVeFbgYXp5lGkhji6o6dPoS+DcBr2H
+3OW2TWItFUU3HKHk47DiRZghrKSfTtbZbINCsGjXYQ5ITnKDbpSWIKMnhTvgZnSw0YrXt8VMk7K
4CWSPwO1swtab1kjnkLUwhpHzdFDXGCvId1Q45LUhwbsu7ppArQBDhpyHbcNvLf7nBbNtqpq6Ypb
5xSIzD5OhYlg2hRpkPoh/TheN6T0bcpxCLdWo6Q9SKoKtVNLfcqflq++NOjNLoYOm4aqtt1NWMrt
VtPycIN1GFmEVJjdldk+QaTLKjo7VGTIqwC5Yel3/IPwLPUDC4NdZ5QsY68pav8j6Olvj3I2vKJ4
FyMAh8eiJ7XGorfox0lyr11hlZ9uLII2Be4MoipQu+YUUR1pZrzkzNQx3bj7FhhVcosz8zWm5sm+
gpoDY12R+ReZ35xfLQVyKnudBx4HAOTS6rJ4L09uUzS6yyuzenI6J6UPGEhcNgw0vdhHp1PTaxXP
aGp8WpIWB1Qw+m8wnfHDs3AtkPte+qV4ZRt+9nwyqqlBzESdg4RbzM7nAHd3YN94jjcBg0H59DFQ
jirZXj6gJ/NIkkU5TTCdU6xtz3aMp4IpUWqlcALCFuxf6mgdW5yeOi6sz37R+1AajFf0OyxbzG45
N7cjra+6wpHqCmYAXPVKMsv7y98zJYcfg/Mp9WedyB/B9uv843ixwlSFGhPmOUA6G3My7CO2at23
92i5lrdxo5ufvbonMQxgsmQlCmnHFGx+vLoDHi+aT30xgS0eVBHcjFqI1Q19o6SXfoIvyxeXP/Dk
eDEgBFCNBaN4goTB8YAut+CYgqWj4mx4KPeGLsrY9Gf+k1Fg40KDNsBQzabRbFI1MQCOOgrqMFSS
m2qtQOX/T0bhewhh0WzS33VsPrx7ZlAzoxg7Ol1ZuOsh7P7sFbO6MshJlZMtQaSAcAq0MTS85qV/
t8Zbi13Jt2joD3YKQqQq2plYTiqvCa24G9rn0bZQRx/2ShMA5oHjkIEOvnKPnFs5k9KGPm0USDTT
n3/4WjVtY111WTngPDk2obbYjJgTXdmQk4jd/ASQd7A1FNILUtX5jiwiw6oUPhcNHTTLanrgod+u
1aTD9rF99oscCLAQCwHH2QuKnZsrf/SAIuDY4n2QKbCbbaAzn99PJhcZ849AgfweJnz4dg21eDxs
1dwZRPM8JccbrRiuhVHnJhg1/iklwzmCIuXxBAudDqNcMgit69SRpAk3rGnelf10bn6pcFpo2tFQ
oqxwPEpVWVFGYzZ33DKVt02UB8+gEop9X5nhlct5+k/NLrPpIZfRiqIY8l4I+bhjBhYDafsmd9qs
lhZALjEIk/V0lYPQXTY9Pqxw8oZ1KeM9dnm9Tg8NKa3C/YnYz8T8mpPNXcNzEXPOcscA2PwjbHRE
qcE2OHmDk6EgOjs0Zpf9BoKl3+I1G+9jTbhLw9WDKztnWrSjOUCeQJhw82UCLIL92esrofuW1QiY
OqpX/CXLEqiYoY3Xbu2KRQSV8cohPXnsp5SBMhKfz71ES2K2uq7lVQmKvE6oJZhNwGz06G6zfe+w
uEXsM8kgDCR0ZF4uT/jJ3mVcCuE8W5bG0Z27ONS60ZVh16ROR7Z0a5icWkw39CuvozYVNGezSXoB
j4x8BhGyEwIxUke4YQ0YgTZS/VJY1kBNN262bplIhwGG1dKCDrLzE993asmM78wK3DQmkdbSaJLx
BxM37DQr0fNlrHcGdOAu7KE3Zvaz2WjfEy0eHiOJZ5DcBYcztWKRoqIA2Q2+ugcstBfAJBap3Dcr
Cfu+R2Fq7RqoXoTYfSsfUrRQD8jg1yvAQ8Fa1MJfIuEbOEiQlZsIRKmTxH10lyejsRpG7rVPLwM6
BBSCyR753zx4lShrdCrYJfx9B8iNMiF6EbY/Lg9ywi6nXjSpHRBu0X1TyJCON1mn4muMZHHqlG78
08uD+96A5hYEAUVu5LhXUZs++EKCVj6u6QLqi841HL9Bml9EmNWmoCX7Eius3L4WXZzcONMvI22m
HYNoEWnb8S/DzLmFXTSy/dW+2Y1KWULzF/ZCVUMFwwmPE6ByCyAEYF05eCfX6mzk2ZzohR1aDcpM
TtIlHfg8vUMrCWpTEiD6fHn+z5w1tCInLxkdAzxgv8cf6bWj2skN5GSrBA6VGoVPn9PXPxuoTR+E
lB21CJkG2Dypj0QuYA5NJ7pqFEcgVbASo/v6+U+h8SxQb3kPemfXlSzpRSADW3BKxSpWI0j+RdZ1
ypW1ObcrqEvA+gU6QbIwWxtDlB6wypC1IbgAyatF332301cDmPtbgJfGvvPqFgKihMzV5z/QIF5C
BYhzSX/veK3QXQkaBPoTx0+14BX5dHA9ZadvL49y5pEhW0XrZCoogbWYxUwj4tgwv4LEUfGWPWC7
0QEMxUQu80AXl57mv10e78yEsmAUXxhQn6oHx1+l9h0gKSNMHKmtJEcXTbAoW7wAwsyCcNYAc1Jb
NPyTdCivzOcUuM8eAI1wm6sHIjd52GxkG8H1toM36Iy446z0CmbZ2IzlCphJ+GSwqGvPTMsVgNxi
keW5csVJ7MzROxp+dvQaNlEuNVXsSAVuvEkG/6k3yv5K9HJmOacOEvoYrBq96tkoEYjC3K10RrE1
fdsTeW5DCk3owKjNBmB2feVCOZ1ULksuFLCRxEvCnuXqo9QTVWd+7GT82SoNs+90YHVc3UNjaTdA
9aLM1+4loGnYorfW7rObiVo2ZxOxTC4blBmPNxO0ErnNDDl3wiK65462V1pjSvdFA1g8RgRnySaT
72A0XLkVTnrWk9gYZa8pcuElQz/peGBFFJ0XeG6GyENQV7dRUsKGBqpkSoceqYrfWD6hUm+VUlE9
9o1f3ZIG6NUSDi1Ij8Tr7W99PFrLxuy5NgzQjT/KSmnNFTUu6a0LYTUuFIx8S9xHLPxr5aamCmqO
Q/1VjiRMV/OmIW1RPRdka9+1qAWixFG9pnrd7EAHZn80ngk5ObfyPIfwW1n35Dk4KSMr+gNXS8uH
mdz5f0TA1H9fXpLTbY5IDoEzxSKSPZC5xzMDvaoP3TbMHdOW5B8VLzZY2DL7cXmU01gViUFBMiUI
5JAanD3W+O4KVMNQbpQocLhef6N0Nn7rIn3GYA4fiMqyr9wepwVGGuZTSsJ4OCNyXx5/WCEHlW/B
M3eQp2lgqnbufsDhZMX58Pa26iKBFWEm0Cc5hPuyVMP7ykRh4bPfPf0Inm+ClClHmW34BA+VSK1c
MIn2FJ3HcP32TTFaO6X3RkylTU85yK41/ro87LmP5wFko0+oPEKHKbj+kMQahut7kBwSpw5M3Ojy
TAYzjl+sZpbhqu/qGrR2aP2BSlAFNrZKN2ERjs7lH3F61aio/9gysBleYrocx7/Blvwykf2RlyMV
OG8IM5jQsvUaQ4ZwCYkQdj+1/PCAG1eHHVdkXhn//CR8+AGzHYAJb9IWLrytBim2x6Iew8ce0P6a
/pm0CnU9P8DpNzdgT2LA5BmGyLZqXNmGp8freBJmx8utBxnetoA7FjRviHdZX3VtrK680ecGUUCf
vFf3+PfsUq8rytutKk+7TPgPVauhI6Ym4krkcX4UhFXeV5SNdbyevhd1TQ52h2q5Jq9qJVEfYD9a
V07MaVEI2UZoPWAWKMCA95ttG9HaValZBWFUmOSLROv8p74a6hVdBOm21gOcQJq+fYDrqt+meC8T
2vXRb0uLUeToJeMOGni09Qb4jPCLw08HBcc/bjYHjQGe2FYqltPCnFjF9OxRAgi/unxydGbyOPJh
lHc3AGAbk1rqbKb9ThSNwhSkWh6/CFGkN2MBLybU/CtZ9mn4wUhQwvCFoPnFDX08kpuXHhosceIM
Y6AARk1hLpq2v86D8o/aTK/lANeGm11LksqrxuPCcHLsLhHpmyhznrvDICLc2UiJXJnIs+PR4ZkA
fZNhxbSlP1yDVQ37IgC57shoq75gyK04UuUbK78wa6rSmfvpaI7pBDMxAR0o4OKaezRe5yaG5Q2M
B94WUmWHNnGEnszStqrBUd2u/fx4ArwQgxFVTfLIx+OlaSX73UBryQ/ScWkYjb+29OwN6kt1MMck
21zel+9V7tnGJB0Fv4EOM0hcYJBH3yd5mRq5mRQ5vHXtpPnwV51bSw+SU+al95IcgAUGA6gE0U0o
FXvIVivs6ValEm2kzLvJ6PWtoibEmTrFlirfiBgt59Jd+bHsX1n66ZqY/1RMNEB+KwA96U0d/9QW
59C0zekg4loN147ygxD3dOpzzEFre5WUMCAuz8509k9GNHhvEWiagHqziwuBMgXxBCNyhFx2jjCl
qUIVREu5Cm9RoTP2njnKlE6Ma/Kz0y4+GRhhL8orMkr28xSt9bIRYbQ+coYO21MpDwuoJ3595SV7
x/DPhsGzgkhqOkzo3c9iGcmESJy5fuTUESz1mIbWxkx9JItq29x25Rjs4QSNb9h8ipWtNDIMtt7e
6XEZraCkwQ+LoWJenvIzF6UGsG0CItAUJH86XmQkKxADGMPImYQZdiJF9R9aurISsXWtyXl2KG4S
8B/ArCYE8NHWL+LWorjL10e1FjipHJL4ejUmj5H97fJHnVlO7qtJ55ZPovQz20eJWsgafhkhuYqb
4IlTlGhwWOGVqZt+72w1AQbSgSCphx0xr1ZU8qANSQ47BrpL5FitYj+hTQBh1nXxlwWd9Xz5q87M
n63x0Eyw63d49fH80VdvyQdF6NgemjU0QPqNGZTD3mrSfzrT/Fv12bND8WX0PfBRofd4PFQjZQn2
WHXo+Ek78sogsjcOQt0ZTahdeT/fd9hsGm1DIKSNth2WGSeLVSlZ07R2QBFe6Z5tWCVLG9FCR8/x
NC1xz9yWMvC2EZ4QorxIF8PfSPG3DLuDsHz30Q80bT1QEfslTE/HHrfXf5cD1Ke0hxEJzTNC8p3+
gcCm+GBEsH2H1G3vI/SYMQ2FZlOBc/4sLALUKvD5KWWm235iMd7IRlRU2JA6Pc2OldHmxmLQm+jK
dXl6QVNznBTAFTolAKhn21xJXOxpW/R+smJsN5meY4WrW81kXZw5hiFBBKTQtvnsLqTXyOs8fRWN
sbnYrRj8GsS2HzhUW6JNgFUNjCXwOib20ZdHOpN9kPUQxv2jv2/Ng/JeChFSN+FANWUmOV1jaRtF
1Oq+yQqBfokKYyUr6nu9o4PQIVOzNLzymjjs6VVCfwZAGE0Ywds2h560pHZ4QCWBUwI52uhZXK/1
Xs+urOQJ+4sjDdmc4i43CpjFuXVW0yBFhx2G7yAGpBACQP1dlyFuyNLo9jRrXRj7IERuIDinO98t
vfvBTv/w3Fy/GfHJWKDIWh7EMBbOlTWYyjrHp1NwZQPgAEs9iYbP4k2F3gs0HpzymlJyd4gU9cui
96ot/n7qYkjT/i5V23qdhC06oOpoYk+M8vFYBuParUBIXf45p/cSvwbQB48ndzu5zfG9pBt9pxWZ
gTVsZeg/oEHLG7QW1JXfw4W+PNRpLDIRCAFeULidCl7TT/kQ+OpIHxii1iNHZntTMa1Qn2joXA0I
mC+MVBOL2kOchgLItVLbuX1P7gJTC3EgCm3ybM7VBpWTQRSRo4a2tO57WB9coBp1l7bb1mN+ow3S
LfKPyWLIB9UBW1s+Xf74M/NMTmPJlDh1ruZ5TdXsGmQMYBUThUMYE/To0KQZUPBEb3Z1eagzlxi4
agtoIorslM9mT40IQt8Y3l81Va32EgLLe9zs4KxaFho+elvAckUn//KgZ041OtOwz+j/gs6eA4dM
A1/zMOIpHaAyo9mhlCualFfjvXPTaE7tZerEyMfOJbRFChdxLLTQ4eG7G/vQuh8SS8bBxvKWuRLV
KJnndYffLqpkQpaCnVEhStNgM43Jr1fQ+LSkG1oHCOIp+evlKTj72wC4UVei9cfNdry/feHFBhbM
oTPGw11kacVNaMEEB6ypXcFhn5ts3oqpBQ06VDanP/9wkjTsrXMjTmARF0Y4LowEWXZTayr/yuVw
Go+BoqPDAoD/HeQ6O7EEYxJY9pRQTCDR72oo8WhB9TtU5XvurWtuNuf27dTpg1yFAwcNpeOvQipR
9nWwRBjByu4Gyj4xc1Bg/KIlxcY3cSQH4q5d2bfnFu1daB7cAOpy8wQpjG276HqbkDPNAnD+hrcx
bKJb0YprfdMTpwQu+ykngLpAn4HhZoUN2Q4Uv5NdNoikPPlw9IOyviMAvXF1dQ2JbhvqxQ7t4w2S
/qjbmV/logDAXN1ZQbVKParuXXmnuf2Lmbfby3v3FIs7/TaN4hZPjw32dXZpmGjkDQR7oRNT+lxG
gYYOX58rSAgE3cpIIn3ThWV+N+pqtuMTvXXjjq1jomgGnMa7VkM4k9dNP+cd7USwTCPgeC8UFTFR
VHKWwnbI1wGU5kOflG9xk0cPXtV97UIUhUCD0xgAtrqMjLrfo5OH20lRV6gU0hi7PEHTgLNXm1mB
XTj1o4Eszw43nnC9rHZcPCgtwhZMJHsB3a1AulVWdygo0D32beNbpvrtdhjxbr88/LkTb9OowDiG
U8+DfTwfLeRpX25ZHrvLSeaVQltmALmuxCZnP9KkQgECGmu+d4vGD/eKm6VEv9LAKLRNoFxZxats
DcqKarS+iDn2S9Qk5UXYacldhV7hlTl+/4qTSSbNpLOKzgDR/vFX9pgOS3bWkmXGaBdr/mPTIkdW
GDuUyBGustYFAg86C2w09r1IuYHsIrynJvhcdggsKu4ml81VXSkL7CK3eI7sVSve11p0qMCkaGn4
s47yG9NrbwAuYq4cPcp595c+5DepSqNLDda67j17Wf8wyN6dgvQ6GJklqBkbecLQQaxkOdrqQ99H
35Ii+zlFrSZuwyTHeyC7G1K5W2FxPoZ6F0mug1wbPFH/0KVThmTtIrS+kErehka7zAP30Hv2HrcC
pE6bDeqqu0RSHnIj2cmD91OKuoPfaWup8e/VaFCREsm4BPHsqCGoGtn3WhLb1tIdFwdBV8Giz+oK
1MiKp8sb7+z9aLLhp/IhlJ/ZvjdF4xVdx0HEYQbxLNHLmwRmEj/Dtp8vD3V2j08eHEBNIRrOj1gf
2GNjR9P7KSkWEvUDoiJNfA3kf34UjXEoMRBJzELBIrJDUGgyehmeXew7dtLCkNTsP3ihJ2tLjFno
AQCFO97JaDnFamx0oaM1iBR4rhyuJLzCd5dn7MzicBDRksIjhZjyvcP84bzmvR7FKU1cZ1IpAGmE
dJcVpe4myq91ZM9EAoxEh56WDu5vc3yd3paaH2L/7QyGNd4g7actEXuzdiKLUCiJ8uxKrnBmlYjv
8IIlIyYxFrPII6HUVzcYSToxVfhD0zXh3WC417DN50fhnqRaPXVmxfEqUURoEpko0kmaMlmgNGmg
QMebe3mVzo4CWRGK/xT4z/eCSZTaxdPcpcZQHIzAblfke8mVqs/ZvTARagmdKLnOZUV4sUdV+E3o
NKHibbQ6QZHCSydzj9xbX/6g92LV7J4G5jbJXzBtIP3m8wZnsZMw8nTCgesBfWDkVpeWGVTdFu0+
/x41wGxcB6oZlSgT+bW+HCkSd/tSS6xwUfrueDAlWUOprBcZ7liyGn0r0Xp9jkb7l+6O41rqa/21
DwykwyIcNcpFOtjxrTIAcFgUudlq+0bPVUzMjKJ+8uSuwVNK6drO6QcjJNY3lQE1UDK7nyZo1E0U
2FDPZE+z0/8m7Ty25MaBNf1Cl+fQmy3JZGY5lapkWxsetbpFB3rPp78ftZijZHGSo56NVpKQAIFA
IOI395z4WnkJ1cZBf23Ih69mk6S9J5ocJb/aGBDLx6enHr1CGUx0PMAXI2hSqn/JvNtRXC71HDdi
aPsrNf4HgBRjcrWcjkJhlflzU8+BWkCxxsyjRzKqxCjn/WgDxwB4qIpvVYccHL9vni5mtPBTOwdV
Ba+1c/OrqGT5tTPxYHXtrmu+YNDR/o0Fcld4cR/jSMednX3lyNzxLwvkGIShn7AnN3rXqYy08xx1
MP/SslRbvUs6AxTUmGUIUJpj7NaZlU3ubJnlSwP689LnSpX67dIrj6xZv9w3VRp9qrG/u0MeoX6f
Y9126mf0UxCAUJ/qUekD2Zjzi5NYiYxNjDo5blMpVDMts16+IBFu01wIpfjIxWjnXbA2r6iV0LSn
pLPJfaRGCetSNhCJNSgNV479b48iqYtKzXu5qfr7srX1g0Ro78iSeFuEHhCOtOmuA0MTo6GU29TU
rS6X/KmVllOM/t9BTXMvqHKK8N2m6MeFtAlyfdSxnnSPzyNvPXIZ1RjOS2VMgaqE89MyKnVw++Du
xQhKqA5IJ0huxrazKsujPLYG09I6qmH4saOhVVKQGXP70+2R9r4Z7hwoRa0OVGDBrxewGPKFYtWU
nFF57wIp0uxX1Pspr+fziGStKv+NDVB4EJf21hMyDLAaasCkr+uP+u06FL2KUwOy6OdiRFua/Tnc
aflUnhHg+0F/TT7YJDurSZF4NZPjjgKFvMlWm7C3lMJseYWj6ew5mVH6VZX8s0A/OpjY3uuMoWjy
/JJn+UWI/31mtro0bVby4DftJv8Y4nh4lu1G8WugNF6i15arAAM4aW0a+2MYmQ+NWrWnaCH5jAb5
iI2y83Gvfs26ML+ts52nNbY19DKmafSGsuwQydZzf4iwa6gzKb9zMOM9uER3Fxs5AIrGgIJJEK/H
7DripNVw/tteOCfdiCu/r2YjWCxcQW7v3Z1ttHoCoZAFBYhGrXo9FGE/srndSHmXTFyAoctBlKar
GwBOhnJLjf72eDtkkV8mRP9nwM11OtppP6kAhM/WAk4vSiegR5FOlbBB/dco2sGjxyndlWlRBGo1
al4nLAeB4Okg6VoP5eZaX03DSby43CE1bw7tiBCOicENe4sD7eMrXFGULr6huSifUgy7Tl2r12e5
yaSLWvVHx+mNxhzlEZ1KvUHllSIELI7rdQf2hI+BhScK5NSMplN5Kh3bw5v3sTP7fxfLPOlzEphZ
8zkc0zvwKI8kcB7bAasNnGaU8qulhnfCzJ8tefAm0X9Ue2c+OPQ7NwMKQ4AbwMeC3NyyMAeoUVG9
dohGs8XWLS1w0enL8WC374ziYGe9NqLAikGNvF6KDMi7XEgRPZLZHt2+V/HTtDPlYC47G2/lGROe
7ZVpzLm6HkYWqGlXCc/mRgJCPdZOfjKzLsMFawrv6Adbj46UImBaiBC94hjddLORz3mb/Lx9At6e
uLVRyaPPIjbSGdkc7jHs29kKa4p+sVo+ZkZbXmpJU888Ccvvda1Zl/+/8dbf81sAk3s1apCeDwNr
TpEsT0FyTUsWnep4NigDNPUB0/0Xcfz6ZOn0HTD9JTGHxLe1/1IdNg0NFT2AFRW/VlqM6nUoZ5Cg
Q7tDeH0BaNu/a6uh+ghOA2XTCvHsj0nYap2rlWGvBbWC7DaK7XODbntZaA9d3Nqzv4CpbP0qMkf7
FA8Is3vL3Fq512r4FrjIdSmvYcVxcUWbTFgwiDJVH+1mrmsKrD3mJXHfyPiT95P2vXeMssOH5Zdw
FVjkf5wiG79DcM6/JlbZkfCCpyjdRk+bwe+WdrlrYl3Fc6ldKLkX8mgLD0MpYbqKJC3BPAn51aEj
gwiXqDv73i7CLL+ERlnjL8NSPQ5JJ3o/wv6ZV4qEo4cidKPysY1B0Meoo1Igdq9VUNbyycx8vALF
y5RZPWp6c/IlM9BeP8lhOAnPwoj36xwO+gvGXjVayMU0iQdaZquraemP1tAqgUB+LUcYb8FISUG6
9Ylfnz4OTd7oXjYXWehlvawdoW13sIOkrCvmFKUbFLm0TXRXJZGCy7McFAzUu0zrNQkB7MZJXfys
Uk+fUc7KynnG50EPXaXNLJffVXHok+TZrnGUSRxp1RRr+xrRhyM02q8C92ZrAragL2ZBdl2rL9dn
IZ0atOxr2wlaq8XVLJI90I2oehYGAq+W4pEHv8Jv1GmYjRJovMw1KjypELtd5ldzBrEctg+VVXxg
Z57++JhCaqabhLzG+txco+Rvx9Sq6lkJuYswp4kfx0VDTrSR5JciKfUvisTxvT3cm+uPXJUiFzpy
qClSHNpcf1FXp3FcLwj7oxiPh5hsewjeDE+2TiFwSlFXb0L8KTLlr6lauoOk401OtQ7OFOmz0Ld+
g5pbplzrh7hNznD6YzfXovfmWHxWMgx6q776aejD+9uz3R2Qti+pskGXXN7E/kRa7HqsMP0ahyo8
i6zoPpgz1BVnps6q1waawXb3xwUXQP00B7nlWWQy9G1qJcGNiwdmKfcmGcwosEfAx+BgLd9cJ+so
5DDcJeiswsC/3jdOhjyTFDG1OlKqu8iQKdtKIj7F7dyfMEA9kt9cl+rqCK3jUaiiaE2P4I0sUjEh
lyRiXExGw8JpE9YvRSUbG7Fidmn8Wt6gVsbatjjq2rxJEzYDb0JLjeI/Cv48eFJ8hd18iYYgHNoj
5O/OcnIzk3aD3Qf8tcXYTabeDmoyA1jAzugsLZkVdAtOUiaOk0+Zccj8e5uWQFYmE1wrzisuYQsD
k6JIUtOwjs9hpaoXsxfaaxVN2n0VsVNbO8FWZO7FGQXn8EHBHdMPEy3G/iSVPt4+Izvra9D+JO+F
sUFfe5OGVVNaS3ERxSTE84/C0KJ3iYHxwO1B3hh442d+NcrmUCBaZDSSDWM4xE3QhQ2TeqrU/kuV
BnYO14dLH+bOqacgjWhIUOLz53JOPYuOpuuEqYeXR3Oil6b7YybjaLZSqOb4NCd0HBJu9EmWX8Y2
fd/lNE0APLpJbTUu8IcHiirmqe269iB93dsxQA/WXiJID87g9QGs+2oILTWLz2j36e7IE+aUmfIn
YGmDj2TlESnv7fN4XUEUwGGtUd5Qtv3wycqldOms6BwP9T9WIlQ/nXXtfQbl3M9D49XQ5uwEZix+
JAB3VI5CEcwmPKth9aG//Tl34uqqbwgAWl7D+NbruNDsroTpH52dChdHSRsjVILaxQvVkfKHMPXA
FstRgWAnAq0dADQHVvAa7JrrBefFGOVKx0ZN2u6lwP7hoxP1+QcFjMBHJdZrr+gpDruissKj3bsz
X4am5MI5pUO01Y2l+LMoc5Igq22VD5GyxG6GfD8oHkEf26KE2GUJ5PTp62ThM5GHL8Ky7jSz/kE9
458ahdJsrAdq78NPM85o5wrSPWn4TtfjEuEm7bdN/wSFIkXwqf5uGWV76vOiO0W4Tt7+cDuH3eRB
x83EVNb+5/Ua9n2JYKzDGk4FxnCO1VkBov/GQc1vdxQej3wnQBXIX16PQpEzSWAXRMih14PPjlbh
F872wQHc/Shg3mgJQaDgWFyP0mcZlncj6keAYRYPOQLsdzKh3KGfiSPYsr4kqKAdbIXdqcHbWFUm
wL9sO2uZjAHKYGnRudWdH3WnKCcjSvKDnPBtlYBEmlOO3DZF4bVXeD21sgn11AZygNJDWj3rtang
1r3ImEjHfVBEmvCppmQn4H/SJ6mqO69uhHwCu5l8AJy2KhZOOhVv3Xgelm51zc4UctjGWjD9LYQ7
ZT1/StjaBP9he4EvQbCAKvYb2dM0TZKwk2Q+CZbXrqkicYTHwc//MghigCTka+TdXCVVVoaNXTOI
bLbdWUsxnjObojoIcXsfmiwZxgUlG0pxm1E0bERHelp86AWBimK2Gq9fs4Lbc3n7cOJLr1CZVewH
yuQ2Q837zNFDqyOSRnL6uR4X/U7IdJfw2UKChxqNDz4M6sQIqnmpphd0XCwQAkApM5Dwl3HCBqvM
GtAsRVEfVBD2chSK9jKjrNwa+qvX21CNaNRHsM8D7pL+O2gyDEUgfnlyvtT3+G6nPKS5WyAZ6Mjs
C6iGeP+ladUerdI60Cb5pH8ACXC1ZkCTb5PHL0uJk27WScGcl84zllqPdSTZl0XO9cBItfy5qMbV
JSP8SVMq/xnqEQnAMkwvlVEqL7c/2c7GQM6PzJ6OySo4aV4vSuS0Y9PapRRUYq59BLYUNw6h1vzp
KGsblWwbCNUq+ri57NpSgWGxoPxkCnVyse5r7mIMcg82+dsQyiis5xpBOU9bZqGO+XFWKEsYAPhT
/aaa50uCMp+nqsl0UcGXeHKhTgeDUuJ78zkZltYFdyp9BfRsrpewTWatMZBuDUSPmFSiPFYYx/yg
F2TLJ5xfxnMFLtlxK6dsNK/PW/FqhBbeZU1uTIo7yguXcGXJrwDt5hdwYhKXsPxspo7zIRr07NtU
gko+OYBs6QItav4xjjX1R62ZmGZVVj+b3jIk8rdeKPnk17o9S1SRuly/m5oJiyGHhi0uC2Gm9r7Q
lvQjivEihNWYOLOb5HEYuZYGZtBvldSZ/MQoo9APBwM7G1tSmxTsi4iehrlLHpu8D/+aRileCz7V
9yTqZ+FmKURGVwUr+zL0lf5JwfHwZ9Gpxd9pFeEys0SyMdKWNAa2s5PwLpCSvzO9c94lCByZfltg
YA5SUbUmdrk5kYFZYwVkxYTwvgxZ/CO1a05AmbXJd2l0FAy5pQkreLXsP5vLDPMd8sdnpVyqxW1w
cMvOaawW2DB2PQghcK0/Jl3pn82kcABeGmZzmcFXv+QKfV5QR6r0qDR6Ep40wDuXuNfoUauSLL7F
kj1+KSq9fRG6suDeJ7cvNt0jrGvyx6zPMR1s7F4uAAxVFFyKMfxoDrXxQHSxPgpqoy91mob4BUJP
9pvCmR9K2t7OBTPWBAl+5NAkv7HbSv67sjLMsfXRSRKPN5HRIKeZ8VRAr01q3VwKnTGA5x19U4pl
qP1eUfp36RBn87kxKkn3/kd0KeI6tQqOJLFiuNiV7rxImVngKlUYnwQqJbmL+maI273TvUbgrzBq
tjPQ00ou2RSIMA/8ZAtTehmTPP98+/Svp/s63lGjgjxOOwxxmDf0gahxrCnM0jCIWqRBwxiBhr5U
1LPVmp/+fCSQOysDFQ0MXvbXR5HMolabKKc6jtjIQ9XGP7s+q9/JTpscpJ57cwIghtg1STzo9G1O
k0ZRPEwxI/E0COoobx6WKjS8tpe+3p7TWyQ88FqUyVC8IXbSnd0MldmVbUts0KCKWmSaNMw2JYtO
P7FBu3CRzH6st3T6ARj7cTTAk8zyo9D6az6bb8iP4AfI5MC0ejZBbqw0oHRj6AR5ZC6BmExsvSdc
TUu9+KTO/QNEaUwjQ3v0jLDFFsmmuNE75UMjdf9GzrdUGh+6Lvwrsc0HM9bMn321RJc21aqDW37n
u1BIglvIS1YmJG8Wa6qtRZcxHgs6aTUnju1/RJv3J/jRoXv7u+zcNjoUTWBaMENovW1ezHYUAtzS
8KTH1rT0h9yg3ddbONMXk4wShNAmVwcJ8uf7jubPqla16mmBV7ve4VGIazrDUJq2Ivnr0CmzG6np
eOHvmv9hKWE5UT/i4CL5vDlMltLpTlwwlIOPlNsneJgBGKrRk+yWg1nt7nGyUva3DccG8un1tBwj
60e0PJxgaEZgMmWYWycHp+ZTu6jOSQCzuBu5fE+SoQx+bVfFXU0mcXCVr2u33eNI6PDGQ/tWpXR2
/SPMKIlmKhVOsKSKwOJVpUEeT3aQLDSs0cRtPtYTrxNhFEdfdXdk2irIPRFQ2LvXIxtyHqeSoGyO
v+5wwuO9drFZt++lAWlVHOOiT3OZNic1M9SDj/w2/wNIh8s3nENqyso2/7Mj5FSaCA5uD8r9NFeV
Qn/DOVKb2juVCsk3H9diN21RwmNNmyYp8KzHCzHx29QMv8P2egRdZx00xHfnwysExAxFlTcC1TpJ
UI0FlRPoiVm/o2tYsnOTI7DR+j3e7BSw9waXjEKpcf0Vv7U5DBATDgkHoxRIOQ2N1gaaMoknGTue
p4LK60GsWaPWdjzcDkhsQe7xWN8cxQEn7gmUkRNIRVw/OzOiN1HVVaeyxMBTXwbcaDstX13X4+ei
GY/6/HuhjmjKO4G9ohpblEFiLCKWc4YPNWu8s+LJea+mFtZ7KrIs9Lsgg8nJ9OV2fN07E78NupWY
GislBOnGoC1dyR+tGaYPmpUnATy8/GV29AZOc6P7kmV+vD3w7myphILLhBrEq/z643bmtDTgkvi4
9M8QDWlK39aEuMhd3eCPFJcfkOD6cXvMnYoyJRgVqO7aS+IlsYkAPZ6kIVJOnBAl/l4K3i88z+N/
Bh3/xF7DiBChlKVxh0JXAyuNivsGzV43knBtDzuDGD3jEow40kzzxPpiSE39vjU68526IFCQs0UC
yLrmpdYd8D/0hwPa9+qdoLgGLBNtVeTgCv7p6hZZ5NHr7dntbl/kxNG7ZfcCfb5eUT2dyrgcWVGj
kDLMjMFbPfStQyKPU8KPRKCjmilR/CBbkeYqTtgcya3sxB+qu1wuOgVXylCbyB43i8Vri+ulK5vu
ScZy/imZ7P6psfTcW7SifJKNIcfHGhvbFul6XDHr8b3EO84vlEz2zcwSd3k/2ZcRaTF3xkz5JLBs
ogldG96At53XLfb4oEqL7I5IboWId15Q2UJHcsnNpwTP3BP6FvInwx4mt61ay3cQ+TvJUYt7twoa
ZeK3eOaC1SsSg6imKRqtZcyq6HCfeo0mio7CFw1UPe7qs50vxZOO6v9XRYmyu9tfayeEonyI3C+w
Bwpf2yRa7kUtyQ17yuhWI04b11Q5ibWDkLZzvFepdzpUKF7Tz9zsiTg3klC1axJKQ7JOUT4hdlop
qR81LaWiORO+mnd5UHKZBLfnt5fLrrgVxCqJ3jxMNtG7TJRhHAxuWzC5+R2exvXwAFFd7T3bnOQQ
Fc5q/iaMVLmrIg6EGmfosglMWGGCTTOu173+F064/YeuwgUB625JfrRxVcU3TWtbJJgTJbmLsZP9
Y0bTyrJYmUzEpdWObhOZsjmzJTzqWbNC0S5SJDrPUvGRbuK69HF17n0coJGb40ERSE5/BCLcO0Ua
iF7uu7XKt8WiRmA9prkpSdJyILazGupuV+GKYyjhQQje24IAtigVEYAA82rXASNpbQsZPCaqJEMU
JDYaepEcyQdb8C1ljfUkeV8TIAPo8K8m1W/X+JTkSd4uDRleM45JoLQJDrzgbRHgm0jVBBY56fCh
bZropcV+/n4MRSIuiSQS2h9gO3kDlXOH3ebkJB9ub9JfyNfNlb8WzMBWUVGisLTeUr/9ttKxpDS0
hBOMnenXkvNtSkEayn1+KiLjUpXZw1CKd05IjSTSX/NR/jsblqdqzu+jpnrp6/E0VolnyMWHgcJ4
1WleZk0XSSlPKlLGkgOtPmLD9Nrgw+FpXBVpmYP13blIKfqtsAEUKanHbbKWRJh9BsXBDngggXTt
wafkVa97rW48Kk7X+dYKDD1Yt3VrbNeNxj54Bd7KJPKbuCJmOeuXxcQ72urbj2GSGs8OsImCoveU
Md26c9wSZMjfENfVryCux8Zte+e71FCScushmZ9nyOY/QrCNja9P01NKdT53YyNJ/1IlBYHLGaXU
LyIzuthtSjRUvTkM1a9ZmCpHbN6di5MVpHWCqiJQp+27YOrRsI+L2Q4657sQ+fKA9G1+V1QgyuwB
peZGzvATr5sMz26YD7eXcqdHu2ozGcB1QNRCKN7cmiJUQquCTxKk9INdK60flLDFubX5KEc2rW+l
CHCV+lA4ymtsSj91qDJq0h5J8e7uIovWEe+jX9f39UFQkEOOMsBowRI57zCnXev3C/dlkUQnJ6w7
1wr/vT3xvegD2p7n0JoFAme6HnF1mAdYwL6tlBENoty2vDImBN0e5RdyZrtTiXB4MEAvhsm8PeGJ
jJJLz/XWRfM3SLt2UOQNxBQA4r6a5YlbZTTDKxoqd1NWNBcQx73nKLHxyQ4nyKuJpZ9NJarPy7I2
bpNivNDKjh9nFBsfECPUAlFRvp3MWLxD1f3PG5arqPqKCVpBJngLXa9Si5tm0VaaHdSDmj3Q4lMD
WR1bN47U5uwsqfQUSdJ0EFJ2Pw05MoxnGGYgXK4HpR6+oMyy2AGVmZQKZm0CtqyNgwxh79hRqIQt
RbuSV556PYq5NFWjhaMdCMUuA1hLJmXR0QnqpUw/GUbSPuJy6DzkxWB/aEQtDobfq4ZQBFkFZlAm
WMnD1+OHzVA7QmL8bE6RWiEdI5fMkrsSZITXhbHzwRLJSBYwLq5sZVTPzV49+BG7K73CvkDycTtu
oXVSlQC9Gqh+2LGuuHNo6ZcOyQ3/9iG4PYojb46aAV5xonJuB5LWtI99W6AY4Ejdf5kLeDkFgBk8
AXuznlRtZgosLVtV6bEa6BXLj2xEXP7DXMCyoHdESguU7fqrCSPTcr0f2JtJHBGQzQ8FaogHQXlv
awLCgy8Iz2nVQL8eRLUxRG4VouEUF+qzsJfk3eKQiEmznV40YaEZMrUIP9SlenJAmx3Mce+dSq+L
X4A/E9zSLcs/tLSs1FFb5mjEFjpTabPA8856zA1q2/7WmU76VdeyqXQxVZIXN5ENKaOdG9X6PS/O
zHGx7qkiXHaK8Gc/UHNzHakcbB+gkUWvozBQHlVm5hHVpYLaXuPA9DVTXQxeVlvV84JPXORpPX+6
UlavnRTLyV8Jn9Gr5oj22+2PuvdMIdemb0wOBrJ/cweCyoiroRbkMCX0cCDuBtkDtwIUzfGS8qY+
dVpveJNszR9uj7x3760kYTqKxCAYFtdfOlPV2qShzi20RPH7BjsIvzazr0rTfLB7+zW2liNQpMn/
uL2Qfh9xs4F1YQNwkbmH0FL2aaP8EJa6XGB+ecu4SAdnci/5xnsDDBiyvvDatoS9uumTPuu5ZcWI
BXPelFPtVuh6n+oWrYqYzONxaVGfLWbpc2x2zv2IOqU/aXbm9Xb/D+j6PzYIhFzOtb6y+0BKgCe+
XvHGkexeogkSRKi+XYpCH+7/H14dO9/1apTNCV6GuImiNbDOiBKcURPXA1QBTbqKbfs+i+bkWZL/
w3sKDTYbBBNFLZ7d2vXM2Luj5KxhViuXkYfAMnvmWty4vWPfCnixgOjorBo3v3A+mw1k4kuolEAV
KS6pw4vROzH5Sl77U6zEpzZS7M9N2s3B3IaN3+qzdl9qhf6d/uPwjPG1uI8zSfKWHtjF7R+2EzR5
CKyoUF7PMkXF6+mjFqt3Q4lCDcaxjUuQbFfPSV5KvWx4eZbTPNMkJRgM7YstN8On26O/FZFxkHRa
1wSJBBj58mZZch4iC82MMODJODSek0bjUxwaQ+Ul8DeQ6MPf0M/sNnpV6lU7ZSX1x24iSdbD0tUG
To9ghl274IHiS3SNT5gxiThIy0SsZ4HT5Wa20A9+9k7kg0zL23glhQKM3MQfa1INKR3XipOjjk9z
3+f3tVT3nx0RIy8yoJdiUfgK5DY0D7g3O0kB7Qh6xVDVgYxse6uZrFA46xFFoHbU/6OkU++lw2If
sO93RvkFgeSk49MFPOV6UzipSAdzsa1AmfFqdR270lrX0Kvcvf3535536KYALVeeHlFuW06WhdVo
ZTtYQdg6wpelLH6N0yb1DH2yzhPPHjd3wuz1jwddmy2gi4DCrKCY68mxHasqU7Au0UO1rd3Fdub3
paN8CU21eSyrpfjRWNORt/xOSKdsCCdyLVigK7Zt8+BplFB/iq0A8ezonoJr+zob1BbsSNHQVqVe
WitV+K5xwJxMk+m8Qz6kCkqTJmZr073WrerPHwyUyTj61DJXqOsWExT3dhjZrWYGwgnFRcvq/ozD
bX26vdxvb05GgeeKHh+4Lmh218tdCT1O8C4zAxzvxKUhn/BREvFR1Jt4pJRHIrJHw222bqs5bceu
MgNYQKbXylVzcgYQvLLVh76aDH+epXP8eezRUVsN5399999qUYmQGmmRZjOYtKo5Tx09WFFJ40Fu
+TbgMMqaoBOjMXvcdpma1tSwdGjNwAzVzNfCdnoZtEgDgicxHpbIjxaIA29JpiNy4bpe14kPhUaw
2Nz6FIVpeF9/PhFVTi7mygxAQEveLFrk8HRR3yWZNRy1It4OxfSAc7CgEIe2lc1KII9DAmkESTmq
dzDywjt5yur0IOjszGgVAMImg+49Od0mlaFmkEeQroxAxFL0kCWpehmAEQVlbZUH0XpnKFi1NGpW
JCMsrM3lqvcxYhNFDK87kUqk85baw3nE8atyOSoF7Q61CtutXmXAszbfKW7jpG1GRw8KIykDaUQC
NxrV8azAIzzYjDtRG08wU8b1YgUEbOHYNNKaLl50PcAFG55tFiL+GEfGO3lJsi9Ko8hnSnbLwVfb
6UywjJwCHUY1JKgtZV5WeDThTq2hY8sjuB6Rtpsq2w+Fpd8PImvQwRz01zFSf6SOlnzINGCEeMEk
wbQ4zjnODOV+QUvEN4XeBZGdiaBqG9ntEDN6tMLx8+2ot7NGv4pk5Mu4xyF0dn1seJGEPAIXeg25
bhPsiA2Bp4NEuzR5GF9uD7YT83h30n5mbVac9Lo3fotB9OgcG/knPcAVXXsg9TDO0iwN6BxigDJL
+fjHqH/SLOA9vHaR5gRheT3eKKqRIwwiN1yAbTYKLOfczpODWe3s6F9sJQydV1mK7eGx0iGtK5Ew
ijnrr6Yj5lMklg65f8L57QVcf/AmyPGQhaBO8wgI+BamiiO5KLTUoio4N8pz6LQRogTJUaq9A/ZH
PIsojgg3zWxa2tfrVufWZCDZqgaYFUv3kmOHr20WVXSl0DHJ3ESXypNdV9Md7mPTv3nZzEEx6dNd
gz7EMy0a48ExaYcaSV0uiO4IgT6FkuG9ksRub8VL6wGKNN8bIp6DP10gmsOUM9eaL4fP2gSyTqvL
zqxsNcgMiuyiCn/YdhP9l0FWKRfEQLU1I7xeHqVe8h4RZTXAz3sAIle238yoLj7ensrbw4JNMs88
tKUoEtF3vx5Fz6MsRYyA0jIKey59mNhbuo5nAjAKVKKTI+e/nSfO9YDq9YDSCMk7nUwLsQupu59F
U1K7jPN/xzJL7uPHGK6f0g8ezzMLqZeel1gyxQGyUONfOU5XsMEt57Vty/pkJdQ4eUMW57ZCYO/2
urw9bvxM2mpr+ZiGyrbhpyVLDWjPsoI5yWqv7kkEq1HuXbAA2sGH3qEbMBbaARRxiVdcJddLgm+R
A4YL++0kQgoR6lnjK2WpeFKdTkFYVFTKke++k6uy9VFqmv0h0yXPLOriIMa8Pfj8EMwN1kouD7ot
tU93eKHB+LACHMmGyxiiLa/NzlHxaKdozTAwCWgHQJh5g1GKikW0Ie1rug4RdH/ISpcojHu3tmte
V0aF+suMZKPAheyhAg2NQqSiHHzfvamuJpRrvxEc3RaXVaYxzx56/kEcWTqeq3HpaXKv/3EkJdFf
QcbAF3habFuMcmUr5WrIFCTdaPnhPM6XtLCK0+29uqZo1/GaUSDxIiG0Cn5s94/cNxMsGnWltFmA
AG1luiiL9e8YWzy6VQXG05jl9yo5wEHqs3dIVpnztcS7avesP+y3mxZJ2S4Utc4iLpX10LVGeGpD
gVW4UhwNtReniE6k3kBMESfZ1KXwVNCkauZ7jf1U+ENKR0tRkhRX5Y5L3dD//CHz64lGiwgE7UrA
uZ6agtJ1K02jFZjqXN6pfSJcMcT2QeqwOyvi+3rq1wC8mdWgzCtwf6KyUFi2R9ek4hmeFJckHz9p
Uy3e394ovyhib3bK2oijVEP6uD3gCXW/GHwgJw9Q06ks6skLnV4FgzyHgRpp0d2iDbSQqEQAXk2m
exVvSEgflbjkE3q8JIqdr8idfienGqoR+SD8Tkr+gYmoPtHJU4D8GuVF6ZTqvsuGvxYBvcJRwCYM
Yd4/F4WlnSA9RC5aIJGvIMXudwo4lCgNC5D+S3y+PeG99aWKRnK2Un3kbV9aq3utmhcqKlIj1ECI
LAwoOzAenADaj5pyhCldP9h2gQlrq7cmfQCk/q+3TUYDUA5j2wzmrizQ2e8dz2Id/RhPDS+KtMpt
ocdc0Nw1LyP5VwDzBGOAsYmfE320L3U/aK4ULXNgLBjqiF4fvVmGSTK0ueKipT889Zj+PEbcj/RN
7PbeCe3pYpvD6PfLCvYco/nOWpzGAwIml66DmvClakL8kXH20FpUa83SdhnFNssJ263UOKuzlj6U
E9oC/1MpTRclTWMFWQ6BspKW9l6k3HsLTcYvtz/OXtj6fa02m79S6pg9RoOoddTabbpc+2x0hvJc
h6nm1ZpqnpGXMzwH0JR3e+Sd4A+eCyE5hycvRYR12/wWt6aodPTWSgjLg1E/9hPa6opo28vtUXai
I+g4rnT0TNcYuUmtQMlOmQm7ORhEh+2jMKpLopWPkzG1B2Hk7fMKO67fRtrsujzXkDoXEWEkigxP
U4sRSwxA2tIC5MiSsMxtZKn5L4sId4IceE1St84mEnyOrm5Tbh2jmM6FU0n0DNIjPPPeIlKNpz22
NoCMbaEwruOo0isKhVnTo1AjSwV6aaN630nGEWZudyiixQqgAcu7NTqOpSaJDEVYJJtZ7deO+gG2
b3ppS1AKt3fGTvuDJ89vQ60b9LcNWOaiB7NrmoFkGtaTY8VV0IZl9qjDwQomJ6y+SaX4mdpT55pD
Hd8nNrleXzSWWwu5eegL84cA8H+QE/1ffhb9D3Tidqg73VA4SZfnnAutkOWzpWCa6c92qaqnpJRN
14b7hSxFMs7PVb7ojRsadftgj3rV+jUOGBdzLoGeoXNUf806eToqnu48Gam+r01O4MF4SW1FgxC4
4uMPfCI9NpGeiIOqnB4Wx/qmOMtzLIGqkhUeMDrMtzh9r/XTZVDjp3FFPPdZ8n6upDtTKT6XRufN
mvyutSRvXBCgvf1534YXsj0Kd1w8sGEQB7v+ui3tx04tjSVAUD+8Q+Wt92R0AA820du7bR2FF/rq
M8wjcW1l/baH7FA2esTIlsBo45rXgHgKs/CdMrSmZ8lQPf90TtxGlKwBIcFreVPBqfowMSAqqUGv
anUAmVBAYm2lT7dH+ZV2b+7P9fkBw52MiMrDZlIUiaylFZTHbUkKQQb04/zgGNFw6pIO5S/8qIJc
batLhPOJWy3leMHervbJi8VpnrTxJGEZcMryOb1IQujvnD5dHs3RBPvO9XpKzUX58j/QMRRQ8AZ2
7RWm13Jhjf/L3nl0yW2k6fqv6GiPHnhzz3QvkJlAOXqRbHKDQ5EUAt7bX3+fqFZPVyLzFKZ0t3cn
qlgMIBDmM685gWsxfRhTe8jGK9A4lizVfvTBJIJ4K8O3rM0SO5lpB1Jj7/tSd5WPvs54TFUTbfdo
7g+KMeqhohfrW+GVgC69hOJHUVg3NPZ3efeXa5PHoUglme0wvbY+HPjvzkuaenYgJLalawtUjPTY
DK3ILPw0XxH8dZXkUEh9QjW3f7ZjOUI8zzOfyH70p1YdghYa687ykt/14rtTTAFKTt7JhXm+mD0F
VE9OsBB0InogJCo/2FncfOhHxIxrVf1pJ059U0D5DYwVhcrnV921OSFLo72HThdMnc1FrU9jltpp
ZAekistRS+YVs6Jkzx/6cr/CV0N6lHoR0SiqjOevOGjR1FH8ptFW4c5rRcP0UC75RxOexintvZcj
mRgOlzjwmA752RaiIKkaQ9I6djCIyDlFs5EcGx0l7een7kojj2HwrDCpRZN5bkW/ik4YmjLRYCqz
bPCRUcoPlNw/r3rjHRf+++u0ILnRttadEVfoTruvXMU6imH+9PyDXM4uFvPITCKFBEMNYdfz2W31
TrPjfNKDecm/kKzqB0uBAB17uQskrex31utlrMBwcMakCapNAXBTsmms0aSXWuqBuSrK4FNAGvwx
L8S9blfmixtB52Ntlyd3KqqPGYXASJ0fbHv84ejIaf6F+cNwCLVqdh/mbefzl1dRZrU2yMxlgaPq
Dp56Mpa6OjltT07qLHuVkWsTaEG+lpMIcN+UIe2T2wtL3kUChrVgdurer9Cre0MYWZ46S5tPz7/a
taEo4KkUSKhp0304H6pUCxQl0PYCnlCqpyEBQqb2LtZrTpTtDHVtFdrytThEoEpu25/o+kIgxxWC
VNM03xhVXd8h81ufYmCA91FdNjvLUK7q82OTu5iiCAwVSc7cYvw4rpdMJBWvtqqUBCfKeqcE61cy
vr44RWpTHBVYicc59/Z2wOWhydA6PQKYuMQfWx9KAOeJ3sW5FmB034YVDiZ+icHNzoReH4X9jMwR
6nvbss/aK0ujuYmGm69mHvqBChPaB3v+ZtdWCD1QUkFkhyC3bVZIPbQ18qV8NukKAMtrWbHurDGR
MZt254WurRBAOdy8JE4gVjabGSltDWZZowVq2uV+Gs/2sRWDfozJ/P0eEvFOangl/gAerGGrhoyX
heSUfPcnG02i9NZJQeY61/rkreIiGGSqseVneDKcChaQ8A30xI+2F+k3aqOut6beNIe2dLpDNNXl
zoq9fH8eh9wHGRkp6rZtnUQdaSpNbTWgkmSflsodQPFlmLpBGz1Bt/r20r1/PtzmWijVShs5gvA9
7FwoUGqTBBP3ZQDL+LfnR7pcqcT7bHypGENctj3QOpQUiqJkJKn3EXpNNJ1yrWx2rGcuVyqtRG4e
6q1kkDDTzr+m25VI7FbeithcV94SksdBCfzzltLbXov5ESF/friAREN+CP1YYEG0oM7H8sqmiMk2
1WAYusg4TOocfV1L3TKOzYTyjz8qXZQdpzxaicpwVb9PAZrWQdxWYrjjr0zxqep0oYRKlNUjwoRK
+26ZXePLaKZGc1grZz0KPPteN2IaSgxUVrDAvd23qNSWidu915Xhu5WO9Ue8wlLNj+ph/ZyuUTv5
fTtAiRSjotOhSKc8fyPciTyg0NJGQ/9XYVqyFujr7FQf1XzS4LsZk/nV6gbO4Fn2W44v/fw2+TxQ
FOoGkrm+OUJwdaJnao9qMHdFH7ZzopKjCvHl+VGuyGZx5sp6Jh0LiiJb9QNBcAoVDQ35aFbo+yaT
eF2Wa4uAHqoI6YNVL0oKz6G00iNWZg0UU3fs33rpYFBzjYzlIVGs6T4bov5Nv2YRzEBwVnuJqTzD
zhcO64aSl2ysYPe0BV+skJ7yttZ6Ksoz2vJ2LQ70P1w0hyd3nY9zZSqrbym6q4bNmGPXGUUekN4u
t62JOshk9kcPXOg9JZHom9W1SSHNsfr8trYjo7hxvJ4YIe0bA2xD0p2szkEm1Gjq5BuN4tEL48Ri
AIGI7Op3Bs6RULJciJkV2KvSJ5kpNR8IQt0czK6KboyeKiDMZ11/Dc1nfUicznmvmjMOZGrTl90x
cnAM81ErE+UBtcnhpOmIlRy0yPJmP63UEXbXqHcPS1rnhxS+KkzhIiu/dVaJuWunKtqXhADlVVLh
uHKzFAvVGxTm9ZOL9nsFZASk+iFK0SP2O9Ga8zF3rWF8MLyiI+MyBHopgnYklWDK8s8vqMsAAiQO
ARioBRBN5hbaOKlZos9ltgTGbJf3ktN6NCZRvG57BUBL4QnI4F35xs7mPeHZy/OSkcFnUEEkcbhg
WuCWShvYozXfWup4owNLPRpuOe6sxSujkDUauKtw8zmoVpyfYQSZpjKlFEn6IZ2Qkl2xPjBn+8UA
UUwr5N6X7EsCv82prFmNgzBfvwZx1Sf3NhixQ2IX7l94l6ejbEKHrIEqbrTtCrmoGY5Fs1SBZ8Dn
en5FXN4wvAugD2IFJgwFifMZm9xsUlC+YsaysvGrNjF8MyvXQ8wJt5M8PloObg4KgHRgBTkzDfK2
TdLR5K0xNosOrsMcKC6Iucg/t2RV7V2u6CsngpI3D92sxuW9krWwpoUx4TMTq0ul+KmhuPapX83+
W12L8cFzTRGFZrQ0Hz3q3uLQ1grctxpSIFpejaf4XrsOmPZVpf66j+DMHsdGS/eqyFd2FKtNVhKk
8QJ4t/P5yzIMohaqo8HiZu7dMvUxbZxOEmtVvTyUbqeclGKhIi+E8+I7SKLqGBiMFUHMloiVl1OK
I07Kp4tN9Zin0OMpIat/ZRSJGJRgN5dU8fwFY3C9TrK4S0AiRJ3VKqajYkR76cVlnCiJAeRr/0am
nI/Sqm0BidGEArAY4tNqjX0ITjEPKwSADoWH8Nzzy/4Kx5IKH40aWcUAL7gNTKfVztuBXmxQgHy+
z3t9rA5asn6OjQjhbTa3P9dEw96iWZ9gS3lvcZGvQwespG+4Y/m+LdfuVq3iESswvBuUUUX+LanA
NE16c2O2DRF4nf4we1V8hD5U7hxBl/MlTx9OUyogwBa2nWS7q51Bbcw5aE1tCqa2zB7EktgfImvW
MfYd7J3A+gpoRXa24BwiTInyg7k5JwhuxghllxnNJw8Ed5rEd4noortZVz/as5EGiJRAIEHz8Iac
ozholTm8Smrj4/Pf7dpz0LCRQbfs1FPVPF8ozRKltjr3E4DVsv4nsK0cchDdv7dVHbd/KApFGUAC
U1GejGZa3pWa0zr4wTnfSnMq9qQqLg9Pcjup9UYYKLmQm5B5zhOLpfGo5k1P0Wid4cFCaO5YLLn+
4tsAuBAlDW5tiSi3NneOkwpMo3KGGscp/jouynDsgO/s5BvXppfqNfUgYgPJLd9MLz5Ynj3a+RRQ
4P4NUZ3okI90a5cVwZg5f1h76252JvOg6OOt1ae/U27YA8JdSWFJFUmqSKuIrQFFn39ifbGcMV8E
yzpDQ8liJeGxqMdvctNofGp7FU0AzwjmcigO/bR0d1GKl0OVxP2hSEZz56SQC/v80uJpqFjR3aH7
Qlp9/jRZTeljVKwxKBLbeF939XqchireYRNeWUlovKOmJnueVOs314jWuNAjOkZRGr1BiD/uPvSr
PaS+qhjdzhtddF0kZVEW26QkKanrtpYzTVDCiacb6GxFg9eoVySf89pY/rD1RBAxx+1a+TYSygMh
az2glo//jF4Ug3mC+5ySyzVVZgLci9fCH2Jj+tSWo6bc4SaYtigl5CURLEyWd5WrVu8dFH5+5GOF
vVOJIW46qiwZnL/svWRpexXL16IGx/Ek2x2Ac8+/lFqXioluGCY2gM1OZJ3ulxlp5u9DaWDD1wv3
XR5Z+VdXyeJbs5qcV2at1D4yzjSPEmSua3Ns79vC0Rc/zVSPl9KcG+C3IKQFnPLnD7LtspIPSxmU
Cg1wIwkYOH/Ytq4VO5qHJpjM0jmIdXWIWqZ1J7rbXhOMwlpCxISiNfJR26Z95LRSICBtAkBjsEQH
cpxc1JUfJcvXEiDJ8+90AfaUw1HfhVgGBl+i4M5fimDM7YVENSFf/N2K7T5YG0ITTVPqO6Od8xt3
tTowlY3xzpyFeaOqmJp6RarcdFbze9pO3KZ63J28Cp5HNxfOfTGrt96gLHvn3JXp1+kqS0wvOt70
/8+fNAdgJ0ai0aAStnjtLE3yYOTCe6f3dnurKRXNod6IWowo2uo9dMzlfepUsui/AFFJzbTWD2tX
Ge9Wz9xTRb/2aBzA1MvILijDbA6ccsEO3aqLJphxaYfFZ4ggq+I9W4crm4Xwh1HgFVBf2hYwnEbF
ESaq8aFe2vw16uzdK2ymxsOQlNarOirtV8jQZieBru5ODnqBB2WV4CSAixJ4c8DgW+ZVVOiI72F1
EuRW8amwK8+PDRUdljZThw8zDmGvow7+q9lFX+rMRpw5m6ed7789btGRpGavuhTSoRRRYTn//Hg4
W/rkGGMwrriQJ63d3TUtpSuUNPbUxa8OJRtVUrFIAq/Ph0ICVUl6F5m1NXN/dtli3C5V8tku6j0e
xMW8ypeySQZIrsgIkIY9Hwmp8KqonWIMmggfUlXgyuNkmfHBXtr41GQotcyo5h2jKW9/y9RyPZnG
i7kEPANJsYzMPEJ5Y3u12DGzrY3eEKwuoAsjKXoui37v8LwypzL1dk2qryo+yZs5Ta3VgzcZDTBd
ywwcZRcdyJCG+4Lk//j8mXZtKDhZOD0DRwLfsZlU0YHGcyp7AHqSc5KZcX5XVUtzN097WnjbHSmn
Dkgo+4JiOWYImzW5WsY8iZh+u3DU8hArtFkG18puWlyzfWM1uveY9/YBIKE9k8wL3zA5NHpSVJq5
KmibbV4Svzajnep2COJkGfAMMzTfqgc49V7c+ppYSwq1omw+dEIm3+oa2gPAs0Fr6/tFePVNpJPc
st2swDCKDHtDc/2ticp0J+m59i2kAbsE2kiojfz5094GLYxIgCcN1AlEgo1CfdjG9XgCK2ztfPbt
IQxiQmKsiSU4Imjjb7JeQvllwFu+Cby+Vg+LSUA0TNHehfmo/PE0uGQYi7oYdVMJd4OXe/5GFDzB
R8SVrKLPmThVrVd/jQCWr/C2U+2O/npTHrLM8uIv5aK3mk8tO03Q1DSmCBlc2ziKJlsKVPKM7KTm
Qg+nKdZ632oGmCT1CIXdL6p8hKhGjX0GHorriq8UTqnAve2Sz70VkRWlCP2/rVIKzZTXewusVdom
3SG3S/cH/4b60zKH/mNtGnF8TMduLGmrwoHzWU0cNJ2ifhqsviesSC0B2NSclfSkF61VBF5kId7h
ltrwzho1rHV1dR41X9GS6r5R1jboysI6NHyFh2LoMAykVxCnhwRaXe0XbIc3vTli6vH8pt6GRUw7
gqny7pfMzsvj30vNyUytOsircT6qRlaHk+fjw1RribMzljyLNp+Y8IvyPck6QCp784nRCFmAZhd1
AMS1PRaeHh2R8c2A1tCirh0lOqL5uXe7P+p/nY8KRc3Ge1VWiIj7NkHEUEPxBNqd8IadAjw0MfPs
WNitNB4fV++N1eTeQFNwSsH6RvwYhcNW/W45Ai/pdYGXkthL9BURnnU6LXayvG6GrLJCs+o7EZg6
CrdRG9kZjal8rU8zmvnLre21yfsFou7oKwIW9ylp+kj3S7wdTpEn0EozyM/ng5IaMz5CJH/6kTYt
HHun6GNY0USMQ+BMcZIhFKGpqM+z/jMfc7B5PU1uYiy3bTYv31WzGOkt2dWtKW0tFxUrLIYxh98U
NjVO8uvoVdwLFiyT51fOY//0bGI9AjN2CQJ8XLFEkOc7tmx6tVDqLqPewedMlZS+aTEM69tkrbMC
UkmV+braGiV7KBP9Td/XRk/FrFe+rjmyVLfqOlY/jWFNwLdRKvWHokCnaRGp4/hRMw7vB6DDb1Rt
bE5et3b9ydQiWwtRvGKeitHIJtjc0r5hKpeqePv8613k3hxDLBZpBWMAAOQDnL+eEIPRZ0ObBD1+
2JCTRnNYj6ahNG+jxVMcvCITrz5kiuCeyGHNtcdxrr38UM+Qx06Va2pUqqPqXyHjf32f/0/8k5Ml
X+Kq7P7x3/z5e1UvAG9Fv/njP14l39uqq/7o/1v+2v/8tfNf+seb8WfbD+3PX159q7tfgqH88a1P
qnL7O2f/BCP9+STHb/23sz+cSoCGy7vhZ7u8/0lO2j8OxzPLv/m//eEvPx//ld+W+ufff/1eDQgx
8a/FPNavf/7o9sfff5Ud5P96+s//+bPX3wp+7fBtKb6Vv9x2+bfyR7f9vZ/fuv7vvyqO9zfSXqQr
Cayp5JPc//rL9PPxR672Nzo+FN85EvjGnEi//lIiaSv+/qvGb1HbJXLkpOAWkpcUVNk/fwThkcUA
u5a8GpeGX//9hGcf7T8f8ReKLm9xqem7v/96UXeQIBmwUwhtyacgJz1fXOU8TmVZC/RUkqwPU7KA
N3oh/HmF56N1cxz0hpZ8QUbmhzvp8VtHnfGxWLuj2mgYmmRjxAlRecgtL5Uft0tq+HXi6ifpT/+2
M8f5oI3p7WCPX3LseL/TbNJu7Rmc45OJ//O1zl5j2+98xPrQYaJsi5zkhUGbQEY8aQ0a5avBMo2z
j0691L7eTOjg27MYXi/LEopm6fWDLmpip7SejUMVV+MNvb3kTaVTSc612X5olNm4U1UKV7VbziCp
83H40LpZ/X5e689qvicP8UhAOzu9YG1JyALrwJDdik3VQXezpIkBrwYdKvfipJntb6jLzF8qs0F0
xoO9frDnuvpWLWb5vm6mjzhhqq/KGFuRpCgL42AaZfp2VIv6U9qs+eLrnRcBWrcH1Y+9YvopkMe+
LUX/BRSbcVuoYvwG1FMnBFiK8l3vDtVBURearOhi3bbk+Y7vCWI6v+rB/5p5WQeLSD6rdh7FR/A0
EVfJYgnEwRKqjY8f8v+fKk9OFbnPnzlVht/pA/zreJJnkPzb/z5LzL9Jz3IZIUFmAW/25Cwx/wY2
S6fr5SJfA9aI4OLPs0Q3/ka1iaoCBXr+P/X5p2cJcTRICZJCqbtivOQo2YbnZACQl9EgAsTFMNbm
Fq6avs/wuhzDDuPsoDW0+JgIfd1JArb5hhxFuq9JyVjUvbZA4VqpnHqy8zFUaghUM0VPqI4iPSaK
sadOuzcUs/00tQGiPdFqLsaQJ/pu9cg+RW5kHhDOUXdKHzLye3oE8FLo/kjlJroI1F82I7nulJu5
rg9hVSlw8tCTeCjGqcPlsRd1OHpejSm82tFr1rovk9caO52kK5+O8isy4ojwSg2izacDSxFJCcuB
HFK3KW9jnu1ERvXyT8cBLfGflENYw5v4t6tFp0VS00erFeV+TZvkLi50BdrZy6kSTChVXNYhLRPp
0nH+6bSpcBF3x023m0eXOE3Cr4W312q6Mm003liM6H941gWVszSGOnadqA91NfJohfTOB0owe3C9
a6NIcXeWveQrbZ3wBmdKkrw2+7B2e/N+qeYIQ4Vuj9y7rXSwBPkuEM85H0DQbU3fsJ93JamrD2O9
bG8bzez9mnrkLZgf5w6jUOeAnoN3xAd5T6Xy2vu5eNlh//MYhmySMTVVyDTKvg+HgQAWTlt9mkh0
Tk8O0SsRwuVmpmlFjYLiIg9L3+h8RTiritZdoddhGWnVAflCjMTmxD6g8dC+sCRCbsdRi4YY34wd
vVWjiWAwqF0912GjFc7dqg/ObVHZ7evGscrbl7+VQ0mP+8CEorfFDvXlKMy1SGiCU8PCwr4tDhXe
zoGy6i+2b+Wtng61CRSNBk/PvsgZqu+Mm8rMrPs5LvZe6HIxnI+yOYnGURlqXOCqsGCDUxoxNSBb
cXbzF6ZN4mt4JwkU3ZxESZEuRRPHvMsaLzeW0Cd0Ta0EQlCRHJ8f6uoL/Weo7Uk0RqKPsCuuwmhx
3Fvo+hTqEv3n84NcW9yInv77fbaXoj2AvINRVYV1CuQJYKiDXIWi0Y0ee//5oeRnPr+qJHNdCkeQ
kpLSbKJVxLKiJVLdKkw7qw3jHo5UomL9kLjFd07DfOdLXZ0+3OxleoIcxlaBS8TKmkIUqMLcSZRA
kfC/THGyF38k2cOnz0sAhfTfVoCvGRWnhHNZhlQHPg3zmJ1qz5yC52fu4iNRHCV4o4BJHZPmjUxh
nlRKqz7VcahV87B3sbm0oZD/MLAHgQDX4s/2/FgX0/Y41mPPVeqIbDH73FZRRaSYh/Voz9+imJCd
JCSpdoa5KFJzmyOEBO1BeoJcUkgqOtqFKPs8VN1MvFZsL4FQ1eFmkOG6uLbl8EazxfwKl+7mQTo9
vcmomHwehnJND5riVmBDxfrKGRRBwDGn99wA3YcS1ssOBP9i1crnZNIlUwLpsy2vOEI8wkr6JA+H
ePC+tn1kvdbsqgmV2HSOKtKSO/20K/NPTQrwgFQ8kFj7829tIutXdrGTh7qmfFpUJIhzCkQvXbUw
JaAKIXwG7QqlmE3UmK0A0TO1ycMsytvAKZrxhE7psDN1l4RfScgAgI6KiiRtbZn6OQIOqjIoWYhb
ovhW58JYjrZilBQRTZeCWZfW46GGlXgo12L+p2EIL2yQBfuNk1z3hd7VH1wt1h+mpXEeCoOJ8Btl
nDIKZ916oipRBVNdaRVa2GP97qX7AMQK8A0Jq5CW2XJPPtlzOjQShDRN2h85HuDFAE6lRXx7Z2df
xE4oZ8nmMDhaQEdkZuejKLGnDi612JACefRlqdHgqKYlDpbRTu7bsW0fomn56aAm8eH517vEosuR
Mb9hp9NmBGN7PrJR0zRw7T4NHSHSGZnO1PhgrYv1rarbJTlMg+NgPmEb87slVbPq2NRLgwI4Gl/r
Q+2ieuRHfed9zWj/f42FvcyHzELQec8Z43L7kVsQ34GXp1J7odUMQFGbZirIIQg/A7pC+tUSJc7W
fbEcltXYKwhf+x60cFQpLkS2scXF5bIi1aprGgKyNw6olCPLL1OPg90nUWhntfkVB3c7rBe7/Pj8
F7nc+GBcPBmKEasDTDLOP4jAgnfpxJCGc2RXp1709gFLyix8fpSLkrCKXwqwP5iCoO2k7O/5MIhF
2lPS5mnYpG1b+rmKKKs9FjOqXLN551AKu1sWTXxcqeMcKjxnbqdmjMzjWPbzLXJQ3kuvafk8Mqez
5FlBr/v8eRLUI7WqtpOwK9SMxY/caJsMe8voyuSCYEHdmFoF1/UWkNWuy7wO6JWEg1DmE0Cp+qSl
4LGen9y9UTafUEuihVYNo0yLU5wy7nNfL7NdRfXLcOARYkSthC4vB/jmaIoo77nDYopwGYs3bqka
H0QSt5gUCfpAPnL9Q3eom8WEY6/YyW95pdIFrvRKBC5oy9sE4b2S//T0Hzqb6o96dpI9H9lrMwEr
gboSByiYkM3p0leJomGcKsIUDYCbYnXXt2ZupKfn5/vaRNiokUqxSJmyb0bJmlWLUyw6wiQrpjvL
azAq8AZxInIfdz6t3BZnwSvLlOabBlCBQisr6XyZiinvYDn0IqS68secOm+6xMQsrHc+1nUUpK7+
+/OvdgndpDpASQUpc2r1UA7lDD+5f4SrjWs7lyJU+iYLCzzgYj+J4v7YkMK/0bR1CpXW7u/nFJ2g
1YpLIA2GeMuntD4//yiXsywpsbQfoGKAKHDlEf3kSVDEVJGRSwQRYb7+ZtPJPgqpbWLAktg5DC5P
+/OhNodTtRq9SEeG0gmrA/weshsLybxwTrz4wR4QQ3r+1fbGk9fB01czu1FtIsajiJ0FdlUbP5Is
mw80Y1BaAukXPD+eDN7OVxFfVcZ2tkvDBPzQ+XgpsU7vqZUIDRFpN02mmrmfOPTP8GUctVcKneTD
5CC5HkW9+yVPI+2P5x/g2rJiikH5c9cgRro1LxFGpjSdxjqOG71514J9/eTQ7zoMUWTcT3zlU+MU
eZgvZnbnxU10GlzhZX49vrT8wHEMaQT558f61Ja0K+bK8eK8FeE8adTx2HaHYRxaP7bB5Tz/ztfW
L/UvAGKyUErB7XzSo3lstbiKRYiOQXZYkYT0s2VxD7le7+kdXVtPMCsgm+HaTE9sc0r0VYrCZO7E
YaMKcWeIeTqBm4hO6ZIo/iLydGc9XR6zlFxlF5BunyQXbcbLxlbxmsSIw2wV1X3ZjtofqlPusRMu
zz5GIWagyqzzalsUeTOndd9hjhaqVTR+rmH3SJiwFujOKA4zedkR/6m9ku/VV2OFEhxYwCa30LOY
WiOhZhmH9KXrD2s1TO+EZkw7B8CVcAixJCgjQHelzMvjfnlyAiiKO8+5ksbhmpvFu2zNlu+xZnZ3
tCOj1/rUOHcYqIqTWeo19bG0PIylM78F2V/4TlWu/vNL9VKQg10BugTouCxDU5k7X6uiWTlA0oKp
NrzqTUYE96kUq8IN2jUYSmTGe9Utrda3FqP5WaWacVKLxbzBky59VetxfGuUmdi7+659ChsYMDcs
lD/qrecPVajapCRKE4fgTYyfoHzHQ2GPgI93Xl4mO9vTkSMJTU+CQYoDm3GWyVg6uxdxOLAefq/0
GkfwFlCaV6zWfT2AD1m8Vtx6MSysuqjrd+u8zHuR4gXuUkKdSfalyAuqE9Rbzt+WteANkaOgh7ak
6z/LqTUP4BKHYy/yDinZ3qUE7GXHHlbza7zZSr9IvOqfz0/FlRmn5PAIfqeeDk/h/BlGhyMLOIkS
FNh+vYP/b51cL2t3Fr/8VzbzTQNPQi85OqTz3/koctsJu5wU/FH7T0o/d68SUQRlY82cX95Ownlt
MLYXsFkyEBfyy/lgBuShNRt7JZjTDMgfyd6JeMJC4Ll07zn195wxrk2hBIUhFGjCsDE2Vy3AOmi4
+cDLGR4cDy2bDkriZDui+FdHoXMKm18ySLeGw0OJGII9tErgDFWOwlVKLBjNe+WaKwcw6G7SX0Bg
7I+tXg1NDrG2DaOMrZW+jRe3AEwk9z62wghvNtM9WJtk59Xk19+ujqeDbvZBjHz4AMtcCVJYmq/6
eurvm37xwrGrzN8dEIs3neuOYVRHezJXVyZVGq4TacPBgie/KYFlpUI9J4mVwIuFGaojp/461mv4
/B67EhawGCWDFU0ttrv8+ZOTP5FYdAvt3UAr7Pwwt2t8sCpP97EN3gNqXHkh7jEquPA6URfYZkNj
1Gr5JFovgHbnfnSnZr1vEV3dCakeUYCbL0ZYCZ2AYhup4balo/eV2q4IcQV2C0UGPJ0oTlqUIu2S
zOp3Q5vKYE3V5Ieduvl6mCG7fYfWp+EdrmahY2fjEVPV+G03GErso0EMQBVEo3LoxrV+JUrLPeIO
NO3oIz06nm+f2iZRRNf2MZPbxDAqSU3kRAk21FlevzbzqYvCVTNaN/HdAjjdTaoMAp0zR13eJ/lq
jr6niuR7plTZez2zordicfTE77GLxPOJT177NiJd5WGZ4iF+++JFI0NnWY2i3E8v43zRNJk32Io2
4GM4ltrJq70E+VclPzktGND/p6G2bUd1Aj/Z9tKYsUvmN1wT3a2uz9OrZl6jnW9wZSs8fattE2MZ
pyhyKswGBe5Uv6G9od449E4eGjFMf+WtuF8hbIBXQGT3fAKHKotTj+5wMKhtOxyNOhXDIcP9733k
Fvbp+Sm8su+klAVfiuNZamKeD4ZprTXiZI08vtWvB0W468mbkJX4K6NAtgfAhJDAVkc7Z/glbVkT
VO4H3ys7xa9FuadydC0u4WX+M8xm6WWutapz3uDtNjbNJ7wuaXtHivmg1eofaR9r34zIGqgJJNZB
HXAU9G0bXOtfeFViQHjj8lzexiWTk2uRqWKwqbSF4qvIafjIoluHvzAKgtpg9ZGXx531/LOtq5dp
SVaz8jV8NfmTYFaLeCf6ubo4iA2k9/ajjsX5KO6S4iZTlDg+qt4fYm5iZLwxiH/+Va7uLBJt2QEh
UduSeAaKOOSbLPekGczXQij5J+ScrLCro72S295Qm/u6ajFYAHGN+WnWF/cI2nthb07rIZ3r4vjy
twKnIC/PR7b9ZijdHsW/fGtHNUYSpU+7u3kpk6M39c5f2MJ0J4gDQEaQpm0aJB1NN2qbbOEKthQR
XNWeiDr0nS18JcBCPwA7V+hW9Ku2/JCo7NDLGFM+0zRad82SJHc5aLUbCPuGn+huez+Wov78/Cxe
HZTWJ7AmyE9Ads8X4IheQTlmeGmk41SfZAcMn2tzuq/6fn1D2bin1WAkO0f9lTAc1gK+cGwrJOe2
MX/des7oLqz6Os3s18U0GYHuKvXJygfnlSOMPY/jK7tMml4TylHdlyD0zUtm1lqrPXsZ3bTyOCR9
dbSqac/z5spUUgfHABH0IOCCrVg3LmPqoo6MAstgPE2x6h5LcoqjVkO4abO++dh4w94Ffa12QL+G
yjMampKpt1mbKfy8dmSmAwKGtKA1qXfv9Dgpq8AeSvfLkHNGmrVRvo07PMfqRHbUJiQg7sss1m8B
3e+RU64cAYDJoEKCyiR23h6c0gJjwfoAUe8qSpAtGNqDqkZNgFzvX/muyCSCJgf1B/Vzc7WagDTb
DK+HoAYD/W5Ezdk349HdCWmvrR4LIVSCWsnx2dIzbKWa1I6iNPwF1uigpsUxGboX+8HyBlwzAFDR
vAJCufmO8bB2aZQySg1uPkid4duKcG74/G6/9ioQ9E1SGrr6dLzON0KGk1WdF0Djky5dUedE2bTF
+OLlVyf3GcAxkCgyh5Yb5UlS43qrnuQ5xheG1+JAqmMWMLli2Pks19YZaBSYdNIJhr71+Shoxuat
LTq0/7vFvZmUWLuLFFG8g53bHp+ftmtDkQMCDpLdO7b4+VArqjGoBqEg3zqlfbRjOzkpZCFBKVRz
5wtdGwrOhLQHBPDBQjgfKhPa6KwzOvwgFurjmvfFTa05xRHu5m4wJ2/ITdJDG4lojq4nTMFtoVjT
UjgbwDwCrbVuk0yBZVQpJ4rU/3SUHsPr2PlYeiiPN6XKmdHpX6e++f3lM0sqg7gt+AbZcT5/3WhK
oiyjF8jpNZQY0blU9TKzPLWNN+18RBmaXrwt0TGlC0lmfqS3PVmV1uz2WaHiK9nVunIfV5Z+rGNd
HKpI015ZiQ6VeSqbE/yW8Z3bdHsSJNe2HvcrPgSk31Id6/xNY6/PIKohS57jnus7OB8cRs7KnRji
srUiVUU4e+W1asI43wToFc7LSzI22AJgUAGfK4lKHxKS80NBRObeWjUcOdB4ObVVWn0cJnMMknLo
3prpqr/cDRXICqUAGUFLz205I08mfG00fUb0zQ56Vy3uTTvJ71A3/Pz8Arogz4HKQEEIwTHMQik3
bBuDUz0jfg6uPTDtalhOazNoDUTIAvilOg5zAE90+REZGdFUg4zeTDUBxcPFW2vHdwyRt9BYE20+
9lNVzOHYq94YjlZX/oGaR4aX1Oxwq7ZRPd6rQ97AsYTIOH6YWzSKnI623WnUpgr7J0sbSxzq1Wzn
mJOH5dNlC7OGloC84iXVEyjQ+SzGizfVbjOOIfpw1auObOFQlm5islpX9aYeCSvU9P9ydibNcerQ
Hv9CjyrmYQvdjac4dsabbKiMjGIGAZ/+/XC9RZruMuW3uHeRVCxLSEdH5/wHXfnz+rJuw9DLqBSJ
8NgG70Kr7nzU2opzoWuQIey26Y5ZXsCc6UfVL9uuO74+1PqjNhMkCq0KRKsBM5fG+VAwLiLL5a4D
CyIw+TH15GlZTCdAn0d5SupVDhXBsB/94uY7tIXt0lIVJWdySEEJt9yK69//s0G9REksvVxG8AHm
/Je67O9FxTlMtHFzk9tufDMt3fTj9dluF/ZlTCrPK+GTgbdKHIkzl60+8jnNotUPSzwhx5NUbgC8
bt65hrdZNhU49ClX/j3qGOg8bUKB5WZKbJR2E0Zco2j3rqZolcr5B/HoK3bp7SznNsCu41HKZ6uu
etwU9M+XU0ebUozj0IRTaXTIOevL7RhnzeQPaT4dtURmPi10+3bi3r6nxY413Otruw2xL78ARRb0
Y+kRUkw6/wUaXLbdyC6acO47B6IvF5wv1EmkO0H2ct9we9CYgPe7wua2uvjugAwPkbcOPTeNy6Au
9fHXZI8r5aAq01tXG4yDAEcavj69y63DsNTdVzYU1/aWZYO5Nq9HWjJhPhbfMW7KgrZuPkF03OMo
XVlHykUQriiRrZJwmw9p1K5UGm2uQsiV1q1o7MqfY2W+efN0LADRq/UITzIoAOdfa4mlatdjW4Uo
qsiv0oiUW3Lv8qCWSr73JrmcEbQyREqZDzQK0G2bsbQcG/A5K8NEwcfFdDrNBwxZHF6f0eWBA7O3
eiWQXVNh3zbt1GpWU4oIImziAea51qMsbBuhNLU46JRoT3j12qR4+VDx491HLr/Z7lPW1nnJSy9U
qtELAA3FpyLf9Vm/MikerqtmmsHJIkpfLF22iMSqwsHOkZhZjCDLzZuuF5kvUWzbWcIrc+IjQzTG
nnbNgDfpL8xpxCQsvQrbSV2ejb6aT9JT3wqrXR9Yxop2JRNkQ2ztds0I7TWt0aoQO1zzQcKb/WJU
6p6y/uV5ZRQqAqt2OsmJurm5i7lEBqk3oRosanSCAUWZHinxcBLGrjYDH+HfO3SdEE1GAGi8hFAj
WJf1n5ssU60mzxW1CkcUV3wV/B99+mFP+evax2F3A2DRAbLY21REoZBtFVMBTUNKLdDrpYdwoOw1
3q5tODxcANuSJnuAlM7n4k0QeMvaK0OZN+5/ydxpx2H27GPujXnQOk20k2Bdm9ULL41bg/r8Fota
DJrIG30pwwEHtJPrKEkgMPJ6892EyyXVA3LV1Xf2JY395wtNQ40jjSzKsAJbdCy7Aty+XTk7o1zZ
cjSEIEyAHeAy9jZbzkCWv9VwiAsTOaJybZbiuLBsAE77N0tused4OK6KW6AfqSZsYmpd9KlQMm4J
KrS972YuIGXjK73an21S/BXFeJ8M5cdq9u7rtN1pC1/5ZuvVAWKXwVdC5vkekW1USIoLVegN8Rxk
2liDOC33pnhtNamEwUbmcYyA0ibA6oTFLjIrRqk6AME9ARbHhefUbffC3mXqRPEfjyfeSy82C5uR
sLG3FcgQVQgMPTlFzWD5bmcMYVR02aOxxHpQge+4AfYZf2gKc89m8Npy0tOn2wFJE4r2+vf/bE4o
vU7dDGkVOpU3B62iWyeaoW/V4103DAW0VSOXHtUFHJdEQ6jWCEsp6a3uKVsUQN4pRmu8ZHJD+GWu
jjvH4TJRW/2oUW7EVYgwv62o55ooFWQ/y7Do5uae9yGvv7gy37UaSuk+Wpi6D8Cg2TNvu+iSrTNF
AZucm23D42mzPa0p7kolSghhE37x0ZAqn2PkdO/cVjd/oV2f+sOQGE99WrZ3OpnilwGUz5uTVAo6
L3AQkkX6j2uY/eebpqaQ2qB6ItR6T7nLpqx4Z6rUvDurhz+a6eM7EAFvxRgwcTB66+2AXBvhexMT
ILz3rUQvLmxBjt1gLOPhHRn3O5njle1qkeOv5CS4+txHm6kRrV1L6CJUMUZ7XpIaMRwqC8fXs7nt
u3SdCx8ReZlV1BlgwPko2MiVQ1lIEUZNj8DGUuvv4asiYNb1yQHXN+lnTaL4VTPEh9dHvhJ3Vtm0
FXpt8C7eYkV7MeiZ0TYiFDU6uSoPJT83kGpfdHVPtPAC6/cySx5OnH74JiRD57PkTwEPyVqEim3/
0urywVL6d33qHbKifdL78caWwiOjcG+buTnkiHA1RnzT1tXX1+d85ZtSliZnphBJQXBb/tbLJi57
Lq1wGFoiIMIgfp/ny87OubKycIB57a8vKeDPmzibW+hIozBbhIq02xtsIrqbUo5fFeTUd77hlSyG
BeXVseKcKYJv1rWfC6XMS0DMU6mlfucM7gEUiz+nqIOXb26J8xVXIh2blQSDPGaTpBvRpA197aBw
2dbItjdl+80c5bJjTXwlnK6PKIgrXLqrH8L5XhFOLFNDy/PQ8vLpezLp3RFn5Navpsy7K5pRu8vG
WNvjgl5Yiq6TY2YomqGHQGK4iWTJ4mVlAm8jBJJaSWxK8iIUMHZunMJG8ieL5TESs/68aEJDF3ah
5YxX80l2Jr1ayy2CuF4M3PIaZycLuei98Ztxm9HzXV/ea6vjfEFmBfFfkK55WBnV6GdK5Ph5UuIV
YHoPrpk9RlGannQ1fu8k4iEr5aNoXN3PrOn3mw8PmA/qhCSYJM5bzFXWlib+I/DTFLvX7obOa9C8
H8adgHjliK7vTJvWHnuA6/R8tpQap8EqlSw0G9mBiLbbu6i3fr0+lSsnFELj+qlXpUTQaueDdGXh
1uZsZ2EE2u4wJckSeB0cqcEbdka6ckJp6bCR6VJyeLaga2MCfrtkcxba05IHcUqI65yYr0fyv3xd
4nzvPXhRm2e7QJfC1HU174KldjE3mSObCOvNXZC6t4wJHScRK+lHHB6ssPam4qBMaXvoCtfzp3lO
7tu5yoLFTsXOzr32KVHNWfnE1trT2pzkNVmatEhkoaaO7XGphBIogCvfKCSxznfVsgf9SuMdrM75
t3SdJC6SSs1g3lbxaRCYKXogag4IQak7oelyQi8FXCoHqx83Z/J8KHVOTOlEQoRwsJRbM5p+dtJU
b3f25vp8On9mM4oDy56Lmeb2dkJlExneUCYirEsUPgI512nzbJLLzUd4ZlEXlBLNqWOeTG7sy7Hu
Gp8rVX+/IurByEZy+Un5txiDDuS4Tk2IhtghMaf2We3ybiJ4VPVPq3Li3zmK2rBwFRH194vdDfPB
I121AwHc/jdqreknKdoJ2V8xH0dVb9/nmWyxfdeMDtOdoi1FKJ15ieFHIZN+oxABv6h9J6uws+YW
vSwbb81IM743BoATFAkMcaztRv2RIuX7R5lNdT44vURjzG099WfSKLN27IshujEVa2mOel2JxR9z
B/Smjtqob+Isne4EnCt5NOvN04tQsEJxt4XWWW2yrNcNGOJZvXwdW8/+1mQWHt4aPmC1SLR3mjDd
ExBF/c4pMR7S3PytDVkyWX4H6oZA96itbN8QPEELHflsrhx7iU+TPq4uHiiO96az91y5tonXjUVD
iwFxKjjfxIPEUq7zUD3QG4TUqhlrNB4ab3/seRTq6ZsjbgAJbGu+4tWGVTZeW4RJHhk3lpDjYwG1
bufsX5sL+SS02lWRiSb9+VzMOGdJFwmJq64+YW8Vh1EklJ2Ow+VlgXDMP4NsFizR5zTJZwbJ04w2
Z+bmYZ3aSUDvfI/kdHUoHpKrSjBP9O3lV8bLUDntWIRjrHYQxHBPjQCs+sM09zuzuryYmBVonZea
Lk2KTdhcQOvMiNXxgfCUvOvqXodPWwk1KDCZTPyinPZIL5eJHSNyp1PQWZ9U2/Qxi9rUazNGtJrO
eOdQ9Q+sWTqHFt/2YBVnOY2Z8fZaFYNSf115T8BdtmldnmfUMr2kCO0xlXdjZaT0Y9OaS3jea9hc
2YwQTNjwvOdWq+FNWcyd5LiUpZeHcyrku0Lo9o+8cZS3V2HpQq9NsNX+CtLY5hJyOgE+sDUYxtLl
o95V3be+jMXOLXTlY3GiyCJ4W0Cd3MKROiHI/6GShFlVxEFSN9otgoraFECr1t7JMbUPY+u4O5C9
q6PiYL7CRAD2b3N/WJGDPTdzHsaw006Nifui1k/Zox3l6qmKzeyLvXhW+PqFe+27MUcaQKtjPBTD
8yCCGLG+FqbysK+18Sb1+shvnPStAmVEeI02FEVTYCFc6psowlKaWlf1eSiXJn6Y6qgQfmWN1U5E
XI/tJnk4G2ad7D8FmblPbHNCfC+0eje7tclzHX/qxS90ZfITJoR2WGSYmAezSNw7o4/27JKvfEFU
/GkDA8zj/bvFfnV4ikVJE2XhUpr944jIVzCZMVaWI96xY2e2t4oQ8ZfXv+CVJxJdRGqnVIRQEyOh
P5912s0iq5sGLQtrTJsjF433mNatc0qizvgrXbf9Nbaqc09aNSJynE03iaLooQ3L8Z0q8mhnR10J
4zQBAcfgFkh2ukX+C2KnPil1FkJtlwGcy+JYzpp6aBIj2TmnVzYvmoSrsgmbF4juJhoIN5r1YuJR
RlbR+xmi6scyG/ZypGsTctb6lElCugIIz9fXTNVWjWBehlGewOhelvpUqpmL8YZ8qygQ54TWEidl
1QNe6yfnQzmVGmmNxVBJ432Pbbe8U9Nkj/B1bZcCjIBQzB0IVmtzGIcpgfTi6llouFEKbLyZjnU5
xw9mMitBEtv2LZDPvZfZtU+1GiSRFDEvmkHnM8siUQ0Ye2eIC0TS11xdfpjGqvn8+lm4cq/TDuSS
fSmSettHF9JmkakLHpyOlcr3OZZIT2UWoW8ylFhr95Fh7USca9PCWx4JDPI96pibHZjNTd2PcUvh
RKvc0FLM7qTM6p4y4bUsnZck4mYsHWjcbfWhUFQxmvmYhV4xyjs1kdOtFBrmN/WQP8UxlG0SmeIW
RHn6o+sW6xQnYvk/Oe8zNe9/FZSvnAOWFo01FLIog2yF1roMW153iYkz7mJ+8RQcDRoV4Yo2Gvfo
FFeWlcNm0bBh0quJ4fluGeQgJ1fMaVhWavnDS012Z+eVh9d3y7VRyMZonhlw3vHvOh8l0yUY7jlH
LEbRvjcCYKaBnczbwyFonVW4mb2PTN36S/xzJ1FZps5RJmk45bESUNYbg1KzZ1/oCMy/Pp9rHwg0
OEj0FYV/wacRiyyxCnCSUEuUb008RYdU6k8KHprB/2Mgtj1DrIYbFxVtz6jH2UGYpnLsOKjmTj1i
DZD4WvRmXggREerOS+mNfviFHgtuYDrCCjoaOGZD/Q9H6ZOpxO7x9QldSRwQn6LcioPdKsS+hsx/
P1JrjUIH8hfSB0Q2AvZElJ4cbIy6I990OsrZduYgAgCz+LKA5MFjXLF2OEQXwYu3D5WPtbOzcmK3
b9MVQtrHHecLEc3qfTpmXTAC3vXJFJ0DruXRTqX+Yvuv4wG2X0urKwdrE5LxZ26RvCqzcHQcLD9U
Ofiu2cc7+//KKPQDGAqc01pl3ux/00ZVlwd3Gmqe/NUow3hQtTbyX/9+Lwy/s8yPNJWaH+8C6oyg
j9ZO0z8fUJ1aSshpk4YKtYSaHkAHJkRB7q5IOuODm3r5oy3xktXNVgmdTBtSX7S6eOfoyAzGHb7w
gaeN+B91cecXDaqvrSGn4wSYEL8rRTm0aWIFSTMsSuAYzfykYNv55fVJXBzfdQ44jdCi4b1GX+p8
DgJlyVbvWSkTm4Xu0DQlIviVaxepP5HQHl4fTb9ovmEWT8rEpuc9teZr58OZqZlnsSJRZtF1NB7i
ucmObkSJ9E6ldhLddc4Kui3aCWpBNDW/22WOH71KVijXrM6+bqS5d5C2y9+JbShhNeuT8LvYqt6l
pTM+JrkZH4chSt9Vi3RAtQ6lPyIeGJTGYt72feaG5ai2N0Kaxm0TKT9AVe/x6S/3HlNE2gE6JdQr
ovz5FFNNLTWQEYg5VYX1OOdd5udmne6coxfW0fnmQ2mNvGP1W2A9t+UeG+8brciGJIz01POHRT+p
tf4haXqA796XbtDvTSd6Qomv8E1hnngV33omTspR2QZJOT9N5fgpGulsSFWqfivbU1MMhj8j11MZ
007p43JN1orUyk0hwQR4uDkpsL89xaTZeDLLcR79sjIFRqHDoOzsr8toxjjrAwAACezObcoS50hm
IGDg4tS7GB+xmCx/VpT9Bb36QnxYqOLuDHhtYiutg+YmaDD+O//YeedM7cDVcIq8Ubn1Mt5dxpQU
b034wM2taIeVW7d2jzdbyvJSWIk0O6A4tPIWf6X0sCrt/X/mAlaEBH2tBmw54bZR9UstmEvWz8m7
WG2kX4s83Xk+XQYckizwxOuzkYx7S0xMXL0acwkzpG/q5mA3iT+61Z8SgMrOdK7shTWbA6CHyBnl
ys2Lozfivko61z6VcTzfy6bgCW44vD1GS35uZnvv3F8fj7tmxR+CAN/cbKlp9aIhyzoJ2D3f5YDQ
Js59s98jvHmUlWbtRO4rW28l4gFI5d6Gg745U0te9hq6XvbJ1Xv9Pkqs7EjNaDq9HrGvfi5SIXCi
kNeQDj/f4JD3PeTL1lkZoIcSMCk3nTFPaATZe4T6awvIXUTgXJFuwJXOhzJmF+lBY4HiQvX3blka
4/040e9YHqw2q3e24eXqrfKByADRWSeIbsWt+tSqKiNKjVOrz7aftC0fSirGTop3uXprG46WKsVQ
LruX6/CfDKHCfXBiGP3kNt7Pxc61AJdx79RCOdmp412bDwAIk+yYRyEo+fPF63HSJSJg5NZ6SgFQ
3hoOIi6iNwci5gP4lZ40n4nr7XyU2YhVGceGThs6y/w0H7TPSqcNn96654AB0Z4BtUYxFB7o+Sge
EpRJFUlM6WbkD9GiSU9ZbakfO92Kdoa6smzcnSvJFvwB/rebPbeYiCFX7qSTdze33Wha94Nw9oQA
rw7CxwHkj6sRfY3z+UxNpCJRzCB2Uc5U+x33LpXKXpfpsiS3Zh3saFKPFVaxraqWY4HGqxAafppl
+6lN+gKhFaxbk2ecuMbsSYtk1/m5WuPH7ERlrfo13Or4tlq6BaGpBdnP42JbuNy9/jkvp08W9AIP
BNC58g/Op6/Gopcp3IqTGdv5nwLQJf1/tdnpFF9GD8rmKpXslf5K23+TWXpiFl1hlSqLTH/NdWdk
5uPiYUyaOrBE0e6c7KvDQeekM422FbDAzaQyTKLBragnDsxyW9amfkpttJnicXWpwvdtJw5fLOLK
wSEBWFvvq9jIGmn+iSRjlJqtWZrWyRxtHI5wXDuqC37Jr3+qi1kxCjBRbmWeZrANN1EEu04E6Aa8
Obs5/W2OvRO03WwiH9D/UhRL7Lw9r82JIgVPAdtYyy6bwzfVadY1rWqdptosAlTo62PsGcVOpL82
J3BnJJ1ApylQrL/FPyvXwFRMa8U0T15ix+Hk0QUwx0XedrUDbNRM9mQ4L8TnX4i3uKRyFl9EJTY7
MR1o2wzopZ6yJqKTWC9jH+Ef0hUt/rYmcADTrOuE0rSOvnu3FLrlN20sv2DGYWUHpOeqOjBGXR8C
N5G9diwqTTG4OJqqx1i0B5RdyHrea3KtofvsPUHrgIcLWHaqwTTnNxt6yMikMq0xT21cTF9LQBfH
uVTsg1FDZUM3yX2YgA3sPKEvY9bLqKgMUwFZyaSbC2WY3EV1Yt4n8ZIUj9U8evceYh/3buHigNZg
H+HndiUPVlwrJWtguycKgdWjWWXRz9Gwh5vXD8CVLUlhAzwaxOlVzHlzzGJ0HjCDh6jvlYn5OKMi
5KvF3L31GmXWCIYickJddbVJOd+SlMt67GV61DF6c34wZW1TxXL0tx8vIBbcB9qqxH1hodcaeor4
R26eZkw4AmtEAXsw2WGvr9i1fYOKAiBFnvaQozYrppdq7hjSNU4YO1RRINxiOmgeRCm/xUz6hieR
eUtF782t37X0DcGMzsVqR7glmE+5M2uFQf6m0Ej0ASNA2O29dmcJr0zO1elhE+GJhgTe8w8lS3NQ
m0HVT+aq7O1pjHNEbE3DGJv73E8JivgK2v2X19d0DbObs4j6ATsEVBIZ9Vb4z54LE73NmYRBm2J/
mKfiUyYn56jVs0tJKxpwz4zU58id/74+8PqxLgdemyWwP1ZVzvP5NpqDbjmxh6x46I79KIbHHG36
23mwtZ2T9lKg2I6FNsD6giHmoF5xPlbeDmk9DLN2KlMVnnWb1EWAAlvHrKdayQ8RJbdfCda7BxDb
7pEm9XC0MyczAxyW+yOScu0dV4YTZD1Fny4ztfvWaNq7Ik7wfnF65H4VumbeUKX3DafET2Zd4Fmv
1d1OZfpK0KDxCkqXwEEHf0s781DoUvk+2smzWvtGmfIsiGic7By0q6MgI6Izwkom2axXJ0yVKkqv
nRS7fd92kfPUR5m2s/PWH7L5KFyRa/hnBO6CTQJQdRQ0J3XQTqmyEHXT8adXCx3JsfF27nirv77d
rk6JnNChK0g1YAsOL1MjGaKu1k49Rii+2hvObb5gUPX6KC82cdtJUWLnRiYWUs/fTKrEG6gtplo9
qaVVWgEM6fYbxmKUBamGuD+VXCRfqkTP0mAy0HKjnjjJ7lSMFCr9OBtUqJGu1v1tjCmq/RbZzz+G
0y0/ZNSOuT/hk2keoUS0aaC0plUELTjrNETMj8urwBO3RnDbs39Yova8g2nM6JrxP8i3laHhtl0b
EQ7AaWaW34WM3N8enb0/Gm/gT6Ppys9Tr+C4bM2G+Q3rhnzyYXlbX824g0IADabXfBXWHuhW3QXC
VpixOgUCqdsPbj6qboClCe0R+J3VxyKV+be4baY4MEyhj8GoVksbaLU7lStppuh9fvHZOv6PWzlO
4nYl7qtRkdm+HQMS9tXKLX/ufJqL7QaWlABL0YnLFnb1eQzw3KJeAD+pJ55mzlGfitrHrrjGIGra
U3G6ZETwkqRWCmp/VRvGfuN8LNUa2rxbmuWU8BhqAt59yy3P9pK7V4i0vZ3abFRQC0yy4VAMsf0F
85H6p15JcT+kZTQEcyGpkpp5Wf168yqsIk80YJA6YqNu9uc0NXVWQV0Cr9nogQcp8kADUfP1utkr
wF8GeO7q1QhkNfxeo/z5IhD7Yq+1kuXURpo8opZrnhTVlWAGx70Fv7w7GWp9wHOTrYDkTRo8qL3S
u5U1I70Z8e7Umqh+1hYTP17TjJWnMbew4YlnAx2r15fzMqpQmVDpW9OQpBa3xTNYvVUkkTnNp1l6
y11eRX89S6o7mQG75nLvcmmtOetKzQBAcb6U9YJ386R53SmqZO7dNF4/K0dhakt+NKJ5+m5aDfhh
tYqNyrd7z/4ypm6msg7SBn3bdFF0SKqp0A6jJTLdR/hWMf20N5rU1zSpJcfJqy39yOU/mcfEmppP
k7dUSSCjdMrAKKPLcIN1IDWrRnhTc4qLDj66hQ7xsSyi2bhZZFLnwdRRbvUJ+Cii4BmQxUEaUfh6
rIXACGVeCicLhKXH/zXz6CpB7Y6Je/DK2n0AhhabN3bcgCZ12srz61zqn9RhaGJ/lEIhC4myeDyO
divyYxSL9NkGRSzouMRuH7wIux+iQY3XSbcSh3CeEWufU4uKg6HNNkbIkS7+S+c++ghWv3ge3dj+
3USD8hFUGpbujVJrH51G074OxuAq/tS6xYCdU8Ubu+kqywYYrMt3ZqHpIIatyXtfDm0V+V7uZFYw
z5UznTo8mBEzdpSlehAoBdFXXSrILGOqDDFdN5cHWVO7XvrI+0tg1Dxq/RO16w7Ox5Kon5vRLdIg
r40xR/ZiEcJfUktEfmogtRE2dp0IWFx6lB3oB2ofTNmmxlEWelffiKQdvhhWYvygGdoj0LGivtPW
Hh9tRUkK3405NZ+jtO7u02TRl2NjejJZiWGVEfZVXZaBq+b2IXMn4fqmFZt/vTayLQRwrBlsmZnE
Bi5hs/Z+lIRYP0+l+gUvFrM9kYPE3pGt0j4XlTJWaOpr2Cdpi95TF7ETr/edOVNuuoYOpI+ooxIR
5Zf5W97lDYvmKpzTZFBm3LTqjvfY6NWc4TSlneRFxvDLjSzzpzLYPeIYwknvFv71zzFuZr5M65K0
ySXvHqiQLMap7kbj0zh6xUAOpiY9pz6WXmDrk25jtDUkf0ujMh90S6ZP9A5RclAKN30qSEc/uHFT
kBd6Tjke+salaq9mWv2rXSQ+RoNTSKamdLjIE+wk0uKDMd5VSW79zIEF0Nyi+MfMhLeYxziL5791
m1sfdTnaDtLqukYXqrdneZAOmX6AaSpVRyxwEoJU5Q7LDTibTgRRH6tPo63AU7dp2XN3yBgHeyjt
t8J1J5AvWVr/1Ssr+o7aT/OtdGEY+h2voueOgrcR6B5PSQD9Wvuus987Y/zQpHX0SdaN8pcHU5cH
zTh0ZYDwqvNHQhz4lmWDroWtV5jzSR8NIe4L22SxZZq1v2AnWSVGdYmbnPQhyVO/dcfssQRhmwWO
Obs/6qYZ/6RUWJ5ZnAi6AHtoClS0T/9UXjI4ASRzpfQl7pk/0J4fPs2zVOuwQjCZP3W8sT8YQjOq
YEDJOfKXOs8+UT5Mi0Clv6X5JcT6n51HreOI5bZuHYY5YoPkhRX9xz9LwXUN0vbzWGZJkFqNcwT4
Z5OSW4rzoVdmVOOsLHd9Q+v6p8KoEejCWdNhV3bJKt6eenyCrnSS2jeAo957Uo+a2wg58vHEifLe
27Hp4hI2zfTGTa1qY7+zdZqKKeJ3jk9pTH4iFVpany8oM/Inzbh3K3v+YIhMDWRmQMyV6mzeNYun
sWe1xJV3nS5rmK08gfoAYdVY+ExQYhbn2N29Ytnpc2T3U3nIy8LCUGVUzY9REolnO2k6m09YaXh5
2b12Y1H0f6o8G+aPQ6OE9ArpmubYmXgNKF5fAoAb0ocFEdRPjalry8l2aqu5K7Gba0DqKPBCWkko
DdIxTx5W+xb2hint6VRx2sbTMvVVGY5DVpcUs0q3vMnrdgQ2kgown1PV/VdQxe+ChK5i6EaxScCt
S/TcRSetB3dooWQXeqM9qqCc7ECKbHinNR2aXgLjwxArS6JoiaNeeocnctxjNJJILbTskZjZwBT5
1OZZ8SvRFRmHVupO8akfszINC8SreAeR1xphakmPHLVOCE1ZnNbfGWCibJmQnkA/9bSPOGDkdKRb
hUygJRMrQa4qcx6gx65/XQR+oWE7jI56g8GrnvgWXzHnw6RwbCZPTJZvDJFb+XAb+/+Em6pIFWQq
5JjSMZf/sKjG5WwRvf7s6nlxaww0/P1UNtXkGwYM/GPmxGl3ExGM1YMeD46ColrlfIxRALd9jzvr
Xcuhc+4cp1ZUNMLNovD1rCz+FOnQItSFStA3Ot7tfYV+awTWSmspY9YOefi81PNT5C3KiB1MKYjh
bWRNvpNlUKczxSyboEOT+raYIsuveA2EQ+OowRL3D9COuqeRr89dRC6X+TqGX93JquuRJUDxAd+v
ePWopCk8PJnpFGc+aK/4W2cpYgisdgQAT0squ1MHq/5dUWLjAWcNVuZnpkqGTR6s1IciK8mCo3lu
ND+u7So9zLOjPAwCeU+KKlbyzTB7+90yNzINCZTGdKgVnfss0TLFd7wMk8RBmA3xssmmJ2vIum+i
iooqMConnYmlVg5ZSmp1dFjAaeR+JaU1HjgwhXeMxdj/WGg/hEhKz+6dTNL8pmm5Og6ZQ5L6I7dy
ezmmuYy126RUku+OOpr1oZajNgQ0ptKbys6GYz+l1alLa7hXppE3WlDOtXhgLTPeYWnVVUG6KHEd
6GjVPS4FdNOf5jxRYB3y3v5Ut5bxJ/FsGK52V0j1WPQumvAlkx38TOO69lW3JTz0ld29z9u2+dM3
XHQhYoIgtowumnncEXa7P7EcXG4llbpsGanzV82YxJ9x0XSyg6adzU/5qMhfffs7KU5aJpbfGDG7
36ZiKcnoaqq/U9SDztCBEbi+Mjp2c+C7WbQ/MYZ8bga3/9UPxfi1QtO68Bs4u1/SyRl/8z4hvatt
rZb+rHekdyYqgcXHNT15ToZZScKxSJCA9HC/Gn0Q/fAxWqsfZIAIxpQEy7TAsVG9dPzUtrrztXat
/r/cTbvhEYp/+Qvmb24Hbqc5rS8ipX10pi79a/Wl/p9umHUbxGYU/SWwcTV3uknZBRdVEfv8nPLD
YJba51wVzsexmVWAMEJBkZ3Of9EcppQU7MBpLLxbsih7OuaVNt3aC9sJFO26e3JoAqiNJDBG3bh3
nnHPygt/SuoE9iQiWc9qVRjxQSp9+a2OcutPDh+PJDobvc+KpScGLH5L/OkiT3lftnP5LpPadExH
LZ+PpdaK1bwgHX4IUTW/5qaHkiWiqF4+SRhpbIl0Sj5W0iNpd+JcczAshCjojxGCgswhnyEEl1X+
mQXLx7sRZZQvSaWkBYSGSqkfl6bVlMOoUqA8OMT72qduxYWU5anlhLWmUbdEVyG2DkXc6ykPlU5k
71Vpz9XnLiVoBF1rmMshn1SgjkSC/hkh8bYOSs+Ze1+wVR/LtlWfoaTbOEuokvBG5lXOfk0lVPha
gkeq7w6ZN/u5h/CfTxPOim90D1s37N6mNvVp6NbDMe/d+AuGsd7vih4TqDlnSha/B/v2MW9sXHB6
W1W+CxxIFjLpIvkgdW5RP02pRE2tGS2+noCS8acqripfificHMcyLu+sXpsSfCJG41EgkKuHnT2k
f6e+HHhZ63l08LJJOFC8pvXtkRlaH+ASUQ9Bi6amcifxn0oRZXCTT5lTjCbxb1amLzj4zuON5y79
fBS8ArFDVO2GhjQeo1wznq5YVDDtoT7Z0ZKWNw14/ge97fv5f9k7k+W4kS1Nv0pargsszINZ3bsA
EBEUZ4oiNWxgFEUBcMyAY3z6/hCSMsmgUmwtu+su0lIyKggEBvdz/vMPYWYI4OIl97JtlOpVh5Gc
YX1dU5YpRcfStd5UfTV9gWjp1CeFacSt3ylOBDSjx0WQITP4YBgVb1ImHTaSqu2n7lIns7c4jts+
94J2tNIs1KZluisN2d9HUBDjIOuHpAv0Udb3qZe2cQBD0XkoxULsaV+Wi+27OfcvSImxtnxTke17
qTIcgypVuPd51WO3h5YUvKkorPgM2/VG2ajS1sTG6OqEYDd2ZsOfoIXHYW4LNQ6VJR64PEu6+vPF
2VLsBr1AsaA7g0jJJcHKY2c7OXYUo92DusaiMsYLfCPK8WroHPtWcbCOCbRRsmqrauocD9LoO1+N
XFArvGMxrEMfMsMXBQcLrHho1OOmyw39Y05YSH+hdF3tBtgUlefJHDfVGy+bk4uCOsH2+6w0S58+
VH7EdkdetRoR5P60VJYIPIViNODNRq62WHofBSVtRkXBwiDZd5tZULWLPLvBcSk3/H4oPUIxu74b
fRuj5ZIZhNeNO8ntdnepR9JF4MbJkJzqpeHNp1RGJCk4tea+yZtahY1W4qka5MJpb3It67+WGSti
OGZz83ZkQnRd9Bk1v4hpD09F1OWsHagKiOiqK5mcKbXSTr47t/VAPmSR4YqdTrxxUzJWrY/7jnmP
FLxLwsy26qtpImPkWKEM2GUZE8RNNajRpznjSoctpV0WuLJRr+u+oWg0RrUSm6EflHa9NE5/Df5c
eaHMetn57uI1hi9KgwsnDT2uqSfVqqeGmXiQwHgYg0N+s7TTLGXhOUmGVlZUIHH93lFUmb7JEO58
dFVcBsJlidslLLySQO58nPE5pIKSO9mDfmIcHBGuKWdneizwKjjpBovmdVjIzPLRhmG+o9ZNEbFc
ucXgI22Pzzs0m1duUtvXuuKyZGtNXKib2W0i3R9sqmdgVJE5ACVp4nGsPqsDL3E9EIFlVB/cocVe
Ta8n+aURzJ2OUYhF22pavCi0y6586DujVcP/MpKhqokPG7fZ2hBXmU7x2CiTagX/Vdu07E3BIB54
3qFkl6PxzqlBnmILU7UAJ1nitbBT8BIfEDo2uW9GfsM5e6/5V74E3TDshBOK9T+uWohgniNFNnnS
g6vnAFIxQ1xWDvYCu3I7SGLWa95WL8EvZotojYH2kCi9GPr1ME1GTdTzNq0G9ube9C6TMcm//C7E
Bt7FKN2FXQ2YejgX09Jhroy5nLbtYJ7jp2lTX3Qgxr+N5DkOhDr8jm1U+UCkzy+cmHtlqDV13Kpo
SmEAI30q1fk1q/2XMw8CiwlWREPHvJRX6PlR2EW6JMYMnkSoXpwXIimu2sLLT7TIMrZN5RqvmDT8
ZOi9Mv4hxK4GCpisHSCjS9oYi2XF43Y0SfqzWJmKdmC/NqY7BQMU3y0bM2gwcvathXakENfCpi9o
fzcF0UI8ZKz6PWOdXkHxe/7FWzlQo8S6xIBIjMdjTW5TidPBb99EjoJjDlxlvrF2aK6Q6QhrYmOU
W4Sa6Kpbp6PgIUHm10/ki3cMx0yGVnDx1ZXFcEheBenL0yoe8BqPxuFc5MTIgC9bOxqEPPj1oV68
YngywihlNrS3TTk8lJxkHS9DXmwb6XRBm5TpVTel4yuv2Ar6Px9aoaiBLIUTHhgzJgnPbw4nbxYd
94WbkzPXGShebfEwRQMIovIRxRn87tdI5S8uIt5eqruq5VANAQkfvG95T96jVC1uVSmyQCuEEjrw
4QJ8+n9bmofWgOeC4opXgBLt4B3Ql85aIkvOW5O0Gj+l+dotWHS/8lS8uFX7oyD1QKDBQPswoykX
RTn2ZsMMolaWDR3B4i9a9du+XutR+G8NV2ftPeQxxYUzOposZ0Ypk+1b4HLbVJLxuHTKd+/n/36m
h+v+/T/8/aGq55Z0Xnnw13+fpw8k7lVf5f+sH/vrnz3/0L8vh8dW9u3jH+f3dffHti+/3Mu0Kg8/
8+xXcKTvZxLey/tnf9mQ0yvn6/6xnd8+ogqS+8PFj9X6L/9vf/jH4/63vJvrx3/9+YD+Ua6/Lea0
/vz+ozdf/vXnqg3976e//vvPLu4LPhZWRVqmD/eHn3i87+S//lRs7QhwfmXJIRZkzVlpBePjjx/h
MoVp3uretfp3sd6VFa36v/7UrCPGwphzwMmBAoc35J9/dFX//UcrAQQtOSPD1ZfS+/PHuV19e1+/
3R8uxfe/P5Uz7mfNT19rhF64SANQMBJDaHjoSspmJhKZak2oy3XYIFzU2rmpK36kICoOit5gAO3U
2KP6Jg6Hno/XThdaWmSHTVY4tT9K1X3MSnFiDrPSgIzXV1o56bu+s23S64CnAaIVAgiw5Jlq35oc
MBXdA4zlTWbQYCtzEySwcs5ad+zPhDvM72vy2/VNYg7Fnd1r+m3ZFP2ONLXlxGvS6TSa6qrx27pl
xN2QTIxCabmoNdn02/2d/M/T/eTp3lOz//nxvrlPS/nHXVo+8K78cV9++UMmj3/s2sfy/ktaPnZP
H/v9r/r7uYfbgK0fFDiCNSnOnj33DJcxf4LSg0Z5VcP9eO6NI4S1sFch/TF3XtVfPx57/YhoHEbF
HuayjKFg4//GY7/XQD977KGGwX5Gj8GqT4F6UGoAwLSusnQ0xkNpd/5YlHbq2x5xn0HtdU3uiy7T
b83MMO7EDPcO0LNzrwaZd7eqbKA46EBKjLairWm1uA7okSU+iMIhuWCaqrOaGWLCQESP37k2aGsx
Gv3NLFcXpR6G1bHo9Ff49vvx9cE3QvGA0xhVB4vDocQ29RQAYVFm4Ziim1tjU6/MmuJJCCNh3MDE
m6m3867zGPypc5WfG21nXvdunZEGXYMqGHJgRqpdidwcT3KxOrIkgGV2bG2ipZuPJZkMx09Wyp+s
PocjebTp8K9Xb1/Kdzbfg00XKFO1wNezkKl7sZXjMm3isbgbF0KX04LWREYY4v76mHvi9cGFgm6w
GpqvBLoXzm/cJM+oUP6H3iD020zMd/UoqXZ73QsqxwQ8ae2tgAoXkKGWbmtU86/M6l+kgK7fGwof
1mw8hIQRr2XCEwqw09RA6AOnUONmtbGNBMduUys/TJrRB7mVOOfEDrZhMtnLTlOEssnQFULEkMrG
trFrS1LN8I06e6hxIfOFoaivXKQXukjOkNhKJBVYUtEkHpbii1OC3ZcOF8m4S4fzfqiCVpn8AXrP
mvvYtMAf4tLu0oCcRrxl7bPc+IImm1kCqFRkhbO+U+Jil/PXBU9KA8N9w/s4u8JXzPf15DAvV7ap
x2D9Nf+Rw/Zpf+rQd6FXIyXFJv/5xW0SUZY474iwUyrNX6a2CCsGd4GXLaM/QMF7hc/9wjeSzgnD
E3Ig0C2T5O0esGddazC93tNEyLaJjbybn6pIrHYVnIRNjrXIud4bn3spGAPm1bhxs6X2nVERPkoV
EFL2yZ2Mht+lme/PCg08jF7k6fz/+WXoPbfNIc5xB9tpCBYzwdu5lu0xa2wVzkrfhb+/V17Wj+WN
bB8fJUXeYWX3rDb8f7ga5EL+83b5oxos/3j7WPef8/Th6QZp89kf+6N7xHJNYUdFSLWOnPKv/dHR
jygY2TxhorEu7kvGH/ujd7S6J8DRxmQK3uUKdPzYIJ0jiOL6Svs0VxEI0s/f2SD39LOnyySeR9Sf
WPiACvAmHRKaayXXxWzk4wb+kuucCma087aSmFhusywX73Q4LTzMZsfEdYk6MWw7OK6N37N7nnaa
WumhoWRxddJZ+cw/9NRh12vMiYO0T9L7pdchiyx5ZXyBhkJoZwYzsfDr2uxvS0HrFDgjdFJflzFv
StWkbfkGDlVlhzkF5G1aahWzf1wOwXulIWc/LV0zwwBXNAQXOTMzR4wL3Oy8zIsu9tth9ChBeycS
AdTGOd51lXAUmImZcZHp0rrTbCHrQOtdYly0YsKdv106p95ElTM8er3lMLNUyuldC/JcHGcsmwwg
TdscLpqkwJo5Grq6CRQvwcXQ86Ivq5ds76Ni181wAGi/Qf2T2+el1tVekAGMno/e4PUnBI7rsz/X
ncsMpZ3YB5lX6UhrRypzbDsxNgo0BjLtVmpuWlzQvcgx7DCkvykEU9ljTc37dUIyIMOBbnQ1WESe
hKNcxL024Q3sOzafDlDrTN0Gb2T8Hg07UvRgVNNyDKtJ9smnRJbqJYMStfbTxa0YzAMFDRdAr+a4
69Kxfd8V1gA1yUPlOWyUFAHhcVPX2TumN5kZDKlXnBlpMkw+dLDiPHIG9X50XHFJuJXzmfwQkwIE
UJT2ourHyddiCNJIrmdxmZuevKsbL3MDo3bVlBIKv4YwiRTj8+JM8ex3k1huY1hzI1yQaIK/ZcPW
3jbI8hjlK4uSBnPVwSBta9IitrHRWM61cBh7+cR5D9ZuUarGODHNJNEB0sdoCCpcIUixtLTuLeZM
TrPFhzg6r61B6iFTROdxpYLmF0w39bdyoIw9E+ag28d1b+hZuJiL2wTeFGVF6BZTTiJKhH/EKXWF
Pb4pFSazwaDP+sjUI+pk2MmpjoNcxljOCQ2f70AbGs/cYiyeKGFfWHkW1pmRRzulcc1z0y6EDGLZ
QYdtSdA1dpMGD2mbpTPKiaTq+redljhg65EzPmjFOA2+rWBF5cMVSIazUkL6QRGGk3YC+k7pAPmA
TUdvXStQsmF505tdR4Fnjyrue7YxaKHUSoyQIEQ0Xui2WXWDi2gEEaVUYi/AEFnDUCKndv3YW0rk
QpMi5oZuLlPey44gBr+zJuWuTYdxDNPCse7ccVTfe+yBkQ8OXjrc8TUrjSF2u9FSqFCGOzUPXtXg
hGsKlQaxFOkMP6MdPjtlNlwp0zRRFw2zAU8MHeFX5qPkz8wZxGiMEVe6hiwe5whNzI5CaZ6CJc0i
6hPPxW82JYCORbQtgjyfrCzIkrh7kDCQZTDmi3tWx/Ba/Uo0vDZOkk7vkj6zLkyYksytS6/RQlji
xdbBBY/Zbjw7sGWqOn5T5HzbUJMSg40eo2KKizpTmhBsqq5C3Wo9JCCaZH5QsFATbmi25OPhdAAj
yCN7c94wYHbOIbxodaA4Fjwdb2LiH5RDOk3QnmkVTvXYwiqsUNWHQo/6+7I14R5YIznEmJPkpunP
9tJruwlDgVtTiJJJHrlwNxYPYY3FR5LCaomt/r1qM3/2Y4kZHSzwecLaEZuhOkwHHl1/NBN4nq45
MlNMuQUaqqY4/hxHiXmuyswafbXXDYW1M/OKIJ5stfHdSsFi1xwI29y6vZGJ3ZPd8icdwVr5Pt91
DNRBlHBrIQWmeVC12Ijkl8WSOG0vtbaJ9MjzmYu/Fjz1ogfAJm21YwDqc6Bg24cFuN6qSd9NLYxj
vCMljJ9WsQNV8jL0/SLOE6G20AFF9GnMEutUWyDQhSZuBN/whWfg2VP0Zf02z78tdD9MAfCIYK9H
lf28Rks6oxkb22g2dlVoJ0zGh49WLbrbJi1NCou/ypCfXNi1CH1+KNzhESghxUXKjNrr+aHKMvK0
Lk9r1Ht9WgSDOVndJtNG7rIna1c7a5scOUBS6KgqmNqofdCJKv0edvAfROUJorKm4fx1a1Y48hle
+A06eQYXrh/4URZqR9hw0UqgCKDCQ271V1kIkghngYHCvq8hSgEE/kdZCDgCTohr0nqTqf/oeX6U
hdoROiDyz9e0PHYraOO/URYePrBrU4E2ilNkXoSu+eD1nOm6ytppRGgIRQSd2dgbRRu6Y2uSzrd+
4h/fjZ+0oByH4ck3Q0dHPTiWBqlam8ilCRvLU85zps5+FJl26HXzJz1b2QtZnmxWGfs8xvVVzrSU
HGwIUO7Mdgg7WQRkYe/GfmHSznh/FZ10jDyVfjcW1bYYKvrvrPWgKUE/K92s88mDNAMjh7pkJzU7
h1ct1I/SuH5yw3/yLh6OUriKgP+M9uhSKf0PtdoOad1eFnH4RdHyraQDCLSpqzbsHo1vIA32896z
/YW64JUF53B5/XZkGtX1EQM/Xn/+BHigeEeUiNsV8QVlvMHvi1G7as6vTDn21rBPFxsOg28EUSb0
I/zpULYHR0lLe89Lw9ESQxu2llpvsj7pQ9VDyMsWb7ShLtwoDzQtjh7QjcUfZ5y3m1HMTqBlin0D
P/7EYa/foQuAw2XRKHxNRje9RnQgS1+D196zj1Ux9MW+F6eTq4lPop2cEHk8RAfI88apAZH8TT9a
0/v9DfzPKvZ0FaO1/MUq1t9/eWSrqB+f9rfrgO7vhYwYa9QuKJfVvffZ84VsNaVhjMjzAeH874XM
PuJxAQlksoEQc0V5/1rIrCMX15zVT4GZoMZq9jsLGSf2bDtkUgr4h84fwJRp36EEz6Zz82Zj6MOp
0N5Hrb74Fbl54TjR4sAifuWF+MmUBdERgCNvBaFsLxxE6L0g6dFmhi0rGGRVy5Ub1oXxU0xu/cky
dngbocYhNdiKneQLAcN1eVy3hvZGzRap+raWqomfOr3+sdVzGH1lpLzFORTKn9Bm81ovqdTC0qCP
CARfeYc+r91BYVJpTBoXZXCDJGKGAJfnuv4uQftXBxNZbak3oN+fCvXNPC9TF9hWJPtwtmiIYpDG
GBuOGQr6HA3Z9ZgkLiRTYNNX1sN9asKz9YK7AdzIsAsghJvCpvd0WVIicmVoerk8Xt58KtuivrVH
9seNrSB21Bs2Hd+eBod80FL5xJ/MeKubOXRYhVaHTl8kqHMWwSVwJpWON7NhTHldFd+KuoDzRSpz
F+Aqh6vOUi6ab0O5gZsvhh7hDQqbjVbZ2pduGITY9qy9EP3EDB1LWI0vS/t4UiU6IscW7qmaoqQZ
Z0M5q5Ajbxdn4Tc5o55Dqi+0+NqIk+wDpGx/ifDMfWVT3HuyH1ypdbZLqaij1tcO5xbL0uY16uUO
cc/i+sOQa74FFbUgRN11B3IfRX2Gubqy0xiwSa232EXijUwKFT8LTT8ttWm6kaNq7SC1IZvq0Fyp
mXqH5jTeFd2Ub56sCj/Z6l5kkfCioUUm7o3O16OiOQBH89gZ60zPZUgFCu9vcaPjYfI+pG0E+9wk
34A8a2ifk5qEZbrIbbG6e+dZO7xCcnmx863nQemEzMBZuR8Hj5jMLbpDK5bhIqWxoYU10DV0rxUt
L6g0+6+75uOgI6eIO/RfE6Jp3DwTMsR2d+2J2yl0kWHBMDG7oJPGdOzB/NmsVic+eXvRCXZ8emBV
OIhqeVS9dvVfLnMG/k1Ip01KfwZnLKdPXyx0YaWjVxjcINtpzvQqr98g/9PHIFmxlCgZi2vViFD1
lQVMUKEvJzON2WmfteWlo8udMbhLuRX89sQfhzI6H/u2ec0oaAXknz/TGDVYDA8txAvgKevPnxQl
k4QO20ZqFy6jrYe5l54vWnkiwSZOevdSLlL/dll+a/v+3wBVAxM/eVtfdCLH96lMn27f+3//ff92
tCPoKTTiK8WAgvGv3dsxwZmBrNnHYA2wGfNGf29DdPUIMgPuZYxn8YFcIei/dm/3CFdCh8caxJu0
QGw5fqMNOWxm2bAJ6ELo6kIz53+c3dMnZnFbQxndBGHpAN7kpxWRkilBIG+qOTUjP9a9inSJQXlE
ySYv7amNX3MZWY/w9Jn9dgagFKAImLUdJi/qoskq1CHOJoZxv20bwwjMpNQ2UMh/15tljU9a18+1
4eL6HTTuVtMqUQELf1PA0A/VerHCBEz7lY3l5RXlG5FgCVmIURaDrOdXNHFzAPveNDfKkKmXLQnT
HYy/Ch9YASxibvUil8eYsSoXNuFc75F06en2ycP3k63icBlY5dFrD4vmnDQXWJbPTwFFJSoZoeNd
0DbdprY7+zyfIy+kBywA+BAYGmqkvDKB/pa68PxOIs5mM8Usk8EKp3BwWL2ImlxtrY1a1iL2qyRN
1DeKmSO5WxK99jbepLXxG9lqI9Cr14BkRqoFjuvVWXUZS8W8rRd1nP0BseFZWduQidXBbu6zVHoI
eqs4BvMFFjxttAWFQy0ItmAjLLFZ8oxlyvw0iRYbdXBJL8OZanLXuon5TnXRdSBam3THbx2Rml9E
0sGwcXEeGrfI5aPbxEjFB26WeOvkhvnZzZps2M7sCPK4EBoeVnbj2W/j2Us/AaRb9rWEKV1Aa5jg
qXsWZrfHbq/YH2NrjswLI0eJeZuZc77DzmgZtm6ZaXqg7UFEVRbDe2cPLWqT6dUXOJjqN7HtAD7O
Kw657CFJgE7aVyBIoMpqD1uWK4KJGEJ7gBiuEka8ApzVHuyM9sAnrmHo4po9IGpqg3OOzhWYlBRZ
IFNHIJ33eyEtKl03z4FVeSiMbbmHW5k/AL0OexhW30OyRTU2SShXpLZswehp+lcAFySw2Kauw05s
9jNz4DzqrQt3xX1jxE6AjMWykIW2IsPOiPtCQLyx+1DsoWM2LmBkyiczRJspduoeZgaCBXK2eVHA
E/L6UYGXcbPswelhEsiJ9RWzbrBtT9AXr1A2l3O4KoG3qz3QDcXC7BHKWlTZ5oqFRzJiWI5/4XGr
jIOziehIrnPpJGdeZ3sf2nhIHlFzI0dm4L8Kpt3FQFc5NLu6y+XOMRX3tMggFpwKxTM/NozwrvTG
qBjpIIQ6QSTgQOVitnI+TZ6LiHbRvOsBk8A2RFoEeR5zH2QXWZUCautOt4kYICDGLFVzCQZw4otJ
S/omMAuyJkMPHDH1LV1J7upsSK7rPMuVTWrWXn9MSJmdBnmXxxvymidxVwxctNKPUyrzEwSF4Bw1
3mPlyWSKaDkj5lEUYa0X3tvU8Zo+SFAuiKDqsmUHTIs1oT67VhP2UQnIs/TKsoRdUtnVsTnm8WeY
ZzaOPV4uVgV/7dqBHKTpN14lHmqnwtYaEptK8BjTnSqArKAYl8IYcUGbiV6Vmwzw5QK/EznBOomW
t0ylqo8uc7kHLFtTZCCNEl2TkOdeJplw8Oew6vi26R2ecQRc3aODEcmVh2uQGkCOE9dzqsl4IyI1
B+ZIC9FtXUux7kwCDD61+lR+ZYiGqs5r8uFTR0X8WcMkBRIcwl/K+bG0Sc81s0I9pku1osshb2cV
JR56gABzsr4PRF5Nms9anruBqk4j880q4z3RHOFd2cghZKgPJY1tERnwZsseqT3TlwoJV1rqF6oU
RubbLv1BmPWz5M8NVNEw0anufHjNGuaBalWboT4CO67DveVjo9gK3ri5LO+tuMKhRU9kJbZl0cMx
9QwFj7JqAEnjZSV+OExdIyG+tm9nOBhl5zFGUJY8vjRqIhQCIysGN7TdmtjbfjBIm1JGFQ0q86Uc
4m09tbkveXcQrmpNgnxUw/4MWDrVWVwGd7qf+lZBRFE5tbpRoQMWgXQMZaE7NeN404jWGMNpGNXk
xIyo+4MahfWqoXHLezc2i6uFpxe5Np53EGnaarm0Z6XUAlzeogeMcsRqOzf0H/NYUd81CoMV3ghc
Hv3JcvDPblUdDXcnyHgNYX+2LvMXvHyhWrSZF45dab0jQE86x2VliDYsbXeoTsZe8mROWWvf9iAF
wq/V0kXLb3fZa15WL+cb0O4wA2GzgN5GqvhB3a/Zbg/jl4SAvB8VJJid42mfzWToWOOWzLNP2YYn
/U0jCspuZotdi0J4ValBr7T7V2qLwyaEOCiarxX2sKF74QT6fId1K9ZD/AesjdL01nXeXVcoGU4E
rLO3psOd+3UZ8bOjrW404AiUh9Soz4+2VNhp2J2wNilGE1fw9JZwHBV3Oxi5yWBHPv76cC94d/bK
7WUEi/Ub3jKkBz4/XtuWS8uCZm6GJe6vEzeFLJhYvYO7QestvW+hiGqDMRGwJQSxKOUt2l8lCplF
SlRMHgq1sDHtesZOomPw1pcdCuzYiPFoHMp5PDc8lF4hdtHdHEBcSOVjyT7sfIOofqsn+v+dyA3K
9OTmvuiHTu6L+wMi9/4TPzoi+wgrNR0Yg0TB77Dldya3A5mHUQ2GUSpPHLa3f/dEmstoBptP+m8H
AASI6++eyDnai1B4Uq3VIxbi2G/0RDi78aQ9q2QhkmvkLML+wVsM/8rnT6IuEXJ5tSa2i6YSE4L7
cnrvpiYT4JH3ksqzKusVk/C0t5WmZqh9u7IZwiVThtnPVQTHgakORHEWRVcjolM0c/J7dHvMQBLn
DCGGUaDJW0W3k8Ecvbdz5dhJczINxn6Yb0vPWyI/qpteD2Zcft7XkpzbjaU5J0mUFG/nXBh1gEiF
4Bc7dnNMgyy8hIAYTUrVHO8MNhVy1+LN4uB84qexZdwVxIKuyKZpnOWRXn1ocuBIJBo2J6gb0aWb
VyWSyQyrZFKJe0/sGqvTrrpRLbzjxCimO9tVMAHAYWZpMJZR+yIomtHEeaGjVELa6l5USMonSDra
9BhrHiR1bIymWw0u/PGkZXkRqIuWveGv4H0s9Np7Mnv1z5g1YIDKnC697+GMjn6jZzGG2rGlpxvZ
65PYaEuv3iEaM99nXVqkx3jQeJ+dtGlOzXG0nA3pAEodqKjPTSSTIhdhv7jKO83CcijAUT/7QBNu
QijBU4d6rU+4OZ3hig+107HZzQl9to/KstMxDImi2XckapIAboTyCVH1oEHGwRdnG6P327RG69xX
iu7irayk8gPi2+Rhnai5fmXX0aWOJ3zqEybWGiFZ2PITHguGASNBxyyzBuNbznDvFB8USNpBxy48
hKmWCYq1SloTsxgl/dSaSp35SmF1Ji4rnvE4ND0qAnyLpwqHo1Zsu85KPwx6ZOQbO4aEpJiYTfhT
pI9k2mCHhPGG4o1RMETJms/eD+a13eFdsEtkMp6Ys0mGMQfAle+VfeNFR783qWY6zpvKrPTQ9ExU
HZpy1MlbVDnlJuUmUtzioizZql851MtmGyNepE3MGNg2gCOfv6h5n+ZxS622xWPlSnEWAadtJG3W
apUNdjPrTpAOZzV/vNKEOn5DQv+z0j8ZXpFa+auV/vy+lYh2mp7N/psEaNX57D/0Y3ylHoEHrJMr
YBe4lhZlxt+yHYAx9nqH0RGUy1UF+mMObx6t2DysSRViN4Dr32u9eUTpyY+A04DCATx/Z63fBxI/
XerXeCb0kavPNxAdxd7BE9T1KLGrpAQKarBD8BwnOhboX3vfZo7zrhgSE3+ZzNlOo7GESdyP7+2l
Mx8LO4nua8U57s15KEO9Fh7u05Pe4A+i7Mq2rvDBm5QbU+KvvIBavEsFCZzOKPJdr4+AMVldfmr6
Tn1X4aH+2NXWdRw7je3PhjqEZLg0p2LQk0vYgtEJYu8ksKvWMXx97swLd/VCcwr8hjAGcLUvdtFb
H3hB2qt5MKjyGUDdxLXeYakhCyvB2MyQN0IpdcZidf4VjiT+Pc2sSQu2p6neaXS3XxYI/YM/8pZe
w57s/dioJbY4k2nS6qGtx2PEQtWay8GqtsbQobKvtHkTGfHywbYjbD7ZQs4r8IdPUdE4vteOGPkQ
GOts+9mBfJjJLnlTeZn+Ja+GeNdk3hYV+lUdjdot4u/6i8Hc4s5Q6DNX+wr12NFLL5iWmi4or9F0
U/42byCl5SpWRYt5gqMdFmLz1I9+glfWw5Mn+Scw2gqTPX80mKiuTy2qLmYd63D1KTaKWYBmgiSV
oWV3Xoi1h/pGnRU33B/ltxaR/w0Quq5Sr/3zGPwK/aGs/nibPlRPV5L9p36sJNaRjoab5kdHJfB8
JXGOgDnXeD+Wku8z8h8rCWUjDHCSvJAOW+zBNE0/GD3OEe895icWItKVj+P8zlKylsDPnhe6JPji
TIdgk0MKeZHSkA4xQQ1dgXmirWzqpR9Ds8NBz9cdMreIS6U9QcB4MuvOjav2GPlk5aY2RMIoeVGJ
krJTikBwg0S6TCSF4p7ZefJ5xonkJEkaSoWyOdV6jGJTZfAuY6b7J00+y82T6/6Tx/4QPWZ4hJ6G
Rx+c3IRCeNBkjrWppZGWorioInLnZ/QNRZReWTS4ARFoeM0IbfzWM/0jRemwZKBWYCFnugaRnwH2
oQMy3nEY/QDbbqJazZC35F91p/zkqcXvJiEdHugAo+69aUlhy8QbCuVPrcD4xS28d7++gIfPwXoM
vg0t7Pp00RA8Xzdkb9C5SopvDERcvx07uMuyrV+5Tfsm5OnyxGGo+zT2QZ5dZF8HXwVeFSa/dUGW
nNt7IZT406rw3keptfP69sPQ9rdtp22cDF9psWjXhTtd/fp7HuID+xOADkfdhVEE+sTn39OuBs2r
BU5PXladocfJzhkwNn6GtClkmPSa/8ULKGZ/PCSQJHUj038hR8ICyCDOZDVX7Zs5QMjwOYFNjaez
u/hR7lyWHkPw1jKvcSz7ytzg5tdfF43xwQvOCXgE6jHbQfIGa3CtRp+MV41yUswFFGyTevUJFedF
riz6xrTF17ivl2tsYK6xNSt3xVAbDBryz5iyfjXS/KzWpfCTou7CbCbSrVKXZIsbn3nVm+5Fk2JE
4xRnrmJfLCL7qrK/l6mLxcvMbGEeEYthEiR8LaMQKDDjuMo0KOQMDb8MOXz9Vl1J+5FxvRiZ4ZdL
emNpzacsst91rnldtda1q3Jk04HCYYxMMizx2aHt8Zulhf3A0cBvS389DddDwRmXzruRCCW/nrRr
s48/R2BjMK7Vj+4sPH9Yf2RlunWjRpPc2Drus3nitsd2N+nIjzlU3pU1AAvsflCa5dpsKzckLbvz
66E4S4V+LTpap/0304V5Pg/NfGo265qXKkQuKyOZgU6TnadZ9wFPZr4VLlvwB5ciGKfRDRUsvjee
ZV80xgjOb9kfFacr30u6nRA3RsSHBAjQ2uAlZmWDwTfqPHSllfCRP3+2c+eCounCErI6zjqIiXnW
e9vZct/ZazPMGr6cu7U5BE6SkDBjxClG9piUsvNcaFa5lmAedZdCyMjiGNd1VnzOZuNOT3U99Jzu
Q1Qk+aZgjoSrajnfrvc1csozUEzXz6c8uey9aIMpkRb0tdtBWSjUcKhNZWMmreGb3ULNs17k/WWc
TFBS4WIXnaB5uHWIaMJ5mIsw/x/2zms5bizN86/Sl7sXqIA3twkgHZOeoijdIEhJhPcebzTPsS+2
v0M1V2RSRY5iYmJ3djqiK1olVhJI4JzvfOZv0AtaF0rhbOZIdlw7ts6cKHM2RjPPm3qmFq2i+EEv
0A3V0q5ay5CUViFqm34roRI9ttqyLUvjssxMA7YFSwFhK+Nk5DFE4DvXDdK3frI482kQgjCpJS31
DKp1l1Y41JSCI66us0d7rO7UyNo93TsYlWIjF9auyBeIIRNK6oP6CEXmBq+Wag03vUTAky851NGj
OYcQoMJRxTBzRjNWgR3Ux0PHoGOut+mQXeYm02i7nFQ/1rjvlC722gnaO0ScZM9IzJSy2ZlWGeLD
noIw0cqJ4nCtJcW8IZtk1RTd3WKwACQjfpRCvcBVsrnrJiv1JxsVplFiCkYWXeBRMHG8OnEFUlW5
dBRkKOFfUFMnNZ8OioPYNDJNRECw/Ed0ZjRIUcYlCq30e0m5oUPq8PqjgF/dg0iZ8/TRGNhk2ZI/
IAx8Fo3KqRqM57Xs3OTALFeMStLTGmKXj+ixs4kDtV31o365BFAz6nayPds2z4oCMe8iiy3AU86Z
MmuXqLa3K9UMHzSHBzOXCtcImjtDLQ+0DO4kiSc1W/Fn+hqgREdemEJ/GJ3aSLpJYnM+jaxoXukp
FBVjEFvUWr4NuMC7k23fyMuCPUMu3cAGnVbib7QQuYo2eyhCtix6/zdtpEi+CL5dZ6Ve3TaQtdXL
Jq7YtMhwodDJwpcDRF7xZfUZz6Cop44GcoCo0mo6IWOxmmlfxd20n/LK9sQQCZlLuWPookdnWtcv
gYsKfrKy8GheGS03KeM6fCozecUu12aLVtmD0TEYM3IUBOFZhWupZtjVDGX+LV+iXarbsetU7Pg2
ae4aK8JRpr9r8uYOJKZw7YSTbZkNQdlindgR913a0WMWIyL/tE+lyrrJM3nZMIOBI4OWlNuUTbmt
sGv0EyQMPfSLVNcepJtpTllckrN30qxa2zhAX2E0k90OVoBmlRwk8yZzgh8yLStPnTTJl3Q+Fcjq
ZZbm2oojM7iny05lJtK+wBGhsZ6Ug2YhOYiuoqFstHaswTRb47nS8S5pj08XtkYQZGiW+kzEtZ2o
VFZjw9IO6q6dV7wUaRvGKERkjXQ/T2F0odm5ikdiWW57lYCfGuWdSfXHtgGGddCxa1gr4aJeKUsM
XWmQ5uZksGYirZZK+aqLJBmFq8jgk7Btt7nOLSPxPG9ChJv8Zh6I9Ll22UQUmcvUDy7UndSkb5a0
n5ssis5Tqch8ozHuUSxKPV3JW290WiQsIk2+o8o0TvAGqBAdlasvimRPG7sI5lMpY2aANHT00IZS
ehXL0r1So6oG+VC8v0TG9QllR8lXR0X1h7HWvzPMRkBd0QY3DdksQ0bpiFVk5k/oaHrM++21VQ/y
HbX4wzRxPIvghDfTtNc4sEGZMVEamrunY5G89XIeG3BdDKncVhbnYho0J4gTojBoG2fYGsbQJNkG
FQFDoz/oqbnRnOhKJ7ltO54zKo2/lgUR/ClGpLF5JrdVcS0VyUOYVcG+ChlWdgIGQogXZ0p2kw0l
E1HTQgGTeDxB8XQZJj/2lXpRaf1pU1rf9Cj7UljpSYoQKANosoR2QoG2LHKq6kFWEUllw6mEuHUf
U3yXcoaCDRK7K0aG88lUy+lhniwKlQCCfCnTJmbT7dR0uE7aIV+rcJ69bjKmC3zNGdGN7bQvcLxy
ySjv7EJ8TdqlXJT9mKX18rWPHeRhoocYl4tV2sSPQkvJVWqxaUWC8ZQuoM15N5vpQ53wNJEiBUDI
RO+DrqCoUF5nxsDmaRoxt6MqRL7nKE/LKfWKaYn8zCZWmZZ0g5IDxzaJ2hg3Kuw2zEJBXsUfXPeJ
yfvqwibSM7qM5wmga8rAowSRtnvbI9WPtpI1nEex5XVdtNf04TJIka6uFLCsIZ44K7nJPPKRU7OT
bhWrvkvwPrfSgnayznm+6BopG1YzclMjSFivk2a5DmkYr0IKNzdq213Qyd9APkvoLEqfqXavjaoB
FWNX63oy6BaFn5S2/56o2VYJLUARLOshCx6rBjJklMd7pP9J07JhOjOkLt3nM3u5CAjcjF52o8jd
RzrqK7HmjAQ8S0HUSTThgpARIdsuPZ9t8DmrBkFEF4A5WSNoQzce28Ud7Tlf5VU6uVK1aH4vqR9Y
Dr8pUJ8guzQTqbGhnR0bl5aVBaQptiXPVElCkOsiSVPM3WKFj0lF9ORgfXw/9X9yXD16sXgcQ3Gj
AcGSOgYLq71WdHWQSV4hnhQvR8dymdRWixwMitrlS29bzIA5VfJM3wyBfSbSSXUhoOfgwt0Og2ok
+jlzRc4kj6RA4i03JAOzlj7gC556OTEEwe/dHA9ei2TlrlSzx7pq7rSKTKdfqGsS7XKyifNOCysy
jiuyII59NYozf+jAruukjiLdlBYyh5wkvJXZnYjhpz4IknkVMSkla6NoecrphgYC9aLaN3bLFpE4
n9K0kbbKyNtm8n5WLfyXFFJ3U6K0N6WjIjDcjgIPHgrmbsAx/vNkpOYKRw6GcZYlf5oihPyctgG4
M1YEVvS7UfjkVHCcWRKJHfhUvjSU2RSMqnKpxfUdktCdT/Ic7EOcVb8+vb4/arHdlDn/e1dJ4d83
tN38KIVcVXv8q8TdfHsh7PXPuxOz0f9bclsUJC/W+Zsp7U9BopO469onOaKzH0Pcvm6+8fnn5hvE
OAEtpiNPFQj2gK7Gcxtf/cs2dQX9F+CtIBTEhnxuviGloMC1g20HegJuNz2EX803+CL8EDaHaJvJ
fzSzVd80I7i6QhcPxyHGoCAIXsf8BJ0gcGah7OG+l5yapZ5eaYUmz2yrUL1IUJfeRHYZ7Y0yVkJf
M8oBQGYbYE6F/XzBYFfqJhKJUflWIqqwlhlX3sYgCUuIusZ8pnZKw/pWl5rYZuTSCa5TX+1wmB4w
2zIhvUXI/aJU1/xAguwj2McbLDz6mEwFhYuiLli2x87ajgk5qxinxQtxKrhHbFl5nBRTOiSwgoBP
StAbkBNQdhKeyNcOHS1FACLju6UedqitGN3Pg+6PNtR/i561Qmrx9z3rnxvo0H+L719tG/Gp523D
9MsSYGOECgXOWvSUnreN8hdacTSz4IyTLLCDfm0b/S8aTKBgZGF5z5CZzfa8bbS/LHAyCD2BS0Lf
i2v9AdThLZ1KFbAmQYVllwK4YOu+bGk1s9EFFcrHXjxra4QIYsdvJ4luAVvFIZf4hndHfQ0ItTtk
CgLYTKfabJPO5QnzkAK7BENHebiz5stiQW9hZeT6co/meHToxrE4LKacADMs6xp16iDqz9WpOWi5
o1+kkurco5MQX4QzQEEpjhU3BMFZn7ZzhJyETXmHkpaJSoOSz/I6B1pR+J1RD7eYINNnk3uKqyzI
t1P3T9XHP1re/77D4L+u+A4Q+PeW9k3DVPf7/feng+GmfLgPX49lxKd/LXFU5oQmsVjOhF9C868l
LkR2xIAeWVWER1nHzycD9GxCGhRozg1GrwLo87zEIT9gkanLHBgmJBmGv3+wxEW3/WXq5rCsTWY/
EAxgEiG6+nqFM3wOpzpEjTkax34zDJQc4zR13oun85uhic0+fnkZTJWxgRdkMvBrYuceb6QxViRz
SoGaBUlwE2sgTPysHYxmZY9N9CWNdElazbFUm548J5PiLwNreKV003Q+G0U8rxFNpTQwK3lAXEYg
79Zz3CNco5mInLSRrE6HStP785x2aeaTWk4POj4We7ztpXQTTnl3y2CaYStdGNnwhlqdSeMypf2y
UB1c4FQRhietuQTA7iE1XmJ1Qre+z/qmc4lBM9RgRcoBtsqkYLsAw4x+l1AnXyRseVL9oZrOBsRq
TN9hcitBJJjrxq0DvTjkBTgeBMuLHqw6WifAWHW+nitj0/Y4WmMduiq9PzoAUXwb4+aYgOk2+9ta
RSHPhdMZN8CHivnQ41mm4UfZ6Ds1QaRypgxZVjgzDQsDNQNuZw7UN10JRxjDLdNomGjxlrNA1vYI
kDOwvcHufJG8klHgWYSLDH3u0QBUrUtjiu9XFqy1osDnLJj0wHb1LmN6ECPAic2IlKpnsDbUhzS0
Qfvm5mR/f3+ZHC1GUR4CUKOQIKajL6iJOdiLCQIeZZ1qzY1En6B1tu2Ef4uDU+b6/asoItl5seZ/
XoZJJ9URNkAwMl5fZi4Cu3P6VgI8Voy7NLau2kFRvbLT2xMb3DBGcUFwoiRl77Jtk8MU4Bvw/j0c
5WNPtwA30CDD0+DDiCPx5TcNkwpOQl5JrmVE7Wk2Ndo2bmOVsieq/D6Gnvb+9cSTO/7KBBmeL1uR
oHJ0vU7XEE/CetmtcgBNOsonXtbhvlUUlrJ5/1LHg17x3ajyuQ6KCjzjY93ruoqCuLUTQO9dEUub
Wo3bO2kesOpAgwgnL2wIjIUpRWKABzfaixIsw48R9dt0rYHcOwAcjmx3KsrhvB64700ASMyhSh9i
t8OUoXPBVNQxljjOYrszXFl/Aot7AqAjvYwwCUEwumzOnr7Vvw69F7gk3teLV/2mIKJd0eHXgEZr
E8bFP3Zthkrr64pI/ILnc0//C1VEkZ8R8C2UQtnsz+ce6CXUC236BQrac0/k++dzz/7LQkMQ4ixD
YqBPAlD+fO6BfYWCx0lKGSWUW/9Id+5oAzIcpmoAE4HCPiNiiqzXG3BemqaaYLt4rY6zjA4f3y1a
E472ps/+1FxaXItmDFoCwCQ5tY/ijdxiuzK0CVDswujp5YeJb9LF9Z2ovX3xQn5zzj7per/Y509f
C8kNkVLr8CnNo3MWtheScDFfCw9MF9ePk8G+LfJp9CDvp+scIWMQUcPOTAMJK+/qbrYmOhXyBZOh
8muuPQ7hFWjcBN4yUzdwnhg9ofampSpCPlruRx/RG8VXP75fsiPB9KBqfgPZh8GRG1hlOV4/0z1Z
2lp2tREikTUuoiMYzJ6Eron//lPSxVN4dVUgMqww4a9gkdU/AZxfnDMZeXnWz7njVQnnpF2Xl2E9
PGaqk13C4Twdg0hAV8fyNIqZz0ya4uuz6ZwOJPNwlBjWVIkXx/ZlBJAUp0rN1VqcJsP6tBpuJykd
17GizEyScaycFxAuRg7lhM7U19kw6QZX5fXYmJfT0E5+pzPemRl2u71pR5DRMFA24KgHOR1nLMRm
t2lg4edhJWTBss+tOB2nIf5A1fc3NTQYU03wEp+QhseOE2DRwjFOO4SZ7H7yGis3XG1Ov0MAjVcx
HQqvb8O7vINAp7TBQQ6cfYbAODKKofnB+fHGr9hGJossgIRY2A2QCxxtzTK1dDACDiIuMWDekUHI
XE1iZgOLBZOsjpGm7Pix6qWRAhep7Tp31qE+GPXnEU/WD0R030SK17djHbVOHB1rvHTAfcYRkGMk
/0Jv0Ojeaf1tMy4fQXaPUiAihZAqJiRajgw35jgfx9QO7yWU5byahurKGbvBx6Ru+GAH/KYVDxMe
+B5y8ALLf6x5lOvVnGFm4nhShlrCMHVfNUY9rhX3p7mEqlGYLN482dq+ihBmCxRjP1swR0g2LUzm
WwyIQGNb7cac8qtKEy5B2bAlmfiOMiQjJee0z5TgdBnl0JW0fh0U6uBXZbyRdMnEC7WVVs7AbCge
3DpyPjWGck4qqp/QNK891LKrVR1GTN7iqvRhVCFDl3eMdz0buZ8dljo5bnpl4+WStSnsKPf1qW0w
Jw3uJTn5nhbjlxDDmYPN7EtywgVlBJn03SGkpPGnIRZOI2aNOEdJP57rRH5agDRwhuJDXYSjuufp
ddLgBx+pQBTicb9ey9GU1aOZZlj9ZNgnweMskxDyWGGU286QbjBnKk8UOTJpLkSYC4Ye4LPJywzb
HfjY6v24J5K8o7CHMJdFDkhapqHq8fpmLKeCGRYEtmfB+10xNTUxASuZt3xzxlXFCAtMRPeRwvNv
L2ojSYPMnij/ji4qLyMSMPA0kcy6GLrOQe5l6FZ6U58ucWOtbID9rLYv73/T34YzBPmpOHUQ1MxB
Xn/VYqTfNGCh5LVGv2vpL/mIdaUbqNOrcpAcV2r7r1a5SOB1rK+znMYn+WBsafRH7gd3cpR5P60A
+opkQqjTI552FM2CzljKqg+BoDWj7s45BqSBDCIigv7ryjUQmgVRe7cOp2YfNMkEZqCzfdWSziqy
kr1tkin35Wpi7Lp9/9aeIHDH64F1KcQSqAmQUnj9kFLYAXBIiDVO/kWz6uw8m8/mFKrJaK5psils
HhlrXF3boTqwmEyb8asiWhhx7yc5JUQackYpOInB5WhWZeV8aXPNgI8b5czDrmK1wYm1TZwNWlr8
NtWUXaswXc3uV8GQnNb2aPtA9L5M8exhz472TnpvyghlSjOrg9FzOiZbYEsBROSwcPsyTladVOMF
YUb31JHyKlrmdVsqy8EKz2urYKiWw+zA8PVEkuvew6w7cTMedBhOiUdFbnmgIWCq1hk9Mv0DBYXf
nRQWNZ2IqqR5jlgKL9IKunNV0QeW7Y2JM3haL9GyQ36piz+BfWp+hvB/FSSvChIyt79vMH+6frcW
4bO/ahEkXzBfQO7rqc/2ohYxkBIxsEfBy0tDHFt07n7VIgxlaEHT/7XpSwhJoedaxPqLkQPI95/p
EkXuf6QHJ+oDBuKgsHEL4G6ODgkyXHUMkS8AKTqs1XjezHbwc7X8CYL41SWO6n9CpeIAEgu8KcK3
rELuoWL0PzjXL57/b+qPNzvg6ZvQsJRJbqEGHAX7jvZQ2Mly4AXZuC71/FCWOE8azi0xbPf+pd54
G4inRoMUchOdVR0xmNe7zTHQRZGXOfDsYTiJlA6UnsDeoGcbgPAr8EvWhpMSAW49SvdxPp91s76d
Q20rnq4zzhsZ9b/37+nNWSduCSawGNsRfhyRDbwIAApK01m5THC4I4m0KNtGY4j2aX8SiheLmniY
TT/7En/7Yj+65FEM19VwRnYEZGcuh5+LmcvSDp2K3i36BHxeuDIm54Na4U2KevQtj8JcZwPta2q+
ZQWzMoH5HunpB0fT79Db9L3pEqC6g/j88UJKrHkokRvj5QblxSIXXxFd30pci374qZnrp4PZn7Qd
npldeSHr+kfXf1Mh8h1RAqU9AXqck/toSza60atM+3FdHL5WenO+dLk3t9k2LZyDHcR76NH7xHCu
Rifb1rn9KWq7Dw4TVSyWV6ezuAXdZJ5Mn0SQwF4vJieY7VAbcjC7ebg2l+SL2uSHCrgKqoWfgBp5
ZRyu5H70tRDFcQV8pI2Zrg2NoldAFoL3CyEU0sTcsRQOmdOfpOAFBzndDtWIn2x58f7iF/vt7f3y
zkR6ybY82vt1UxWmHpW8stk87VrOXQkegUoPdXSusUQ9oTlyWsjtw/uXFavt+LKUMBrUZupFxAhe
P6Y8sNhwY8FqLMYH3H8vqnLwGzO6ev8yT8nQ2+vAqIN+DaL7WL5HC20laDqaOCmUtLS6KHRcH3MQ
PFVXYtOIzsCg7+swXMupdBAhBtqcD6LjABz6MBbZZVUsm2UxVlK8eJMVXprp6OcwzDoJaTwNVLI8
g+lLwGqW2dap6nMAYh7aLyjs56jwaXsZPXwuPhvRBxU34nS/e4hQFGDoABJA++f1Q1wi206lznK8
QnFuIiu/UKfhhKnQqdkGXoYFFxOkdKVqw3qJu91kVuGqS+9pCfjIp+wTTV9JZfxlmtC70QPkT9A+
n85rlh+UALeah7UeGC6QSZQwUCewGqzGrWGd0fWORnO7LMnV3LAuG3xVUwlSBprQyryBGLSdKBwn
qIVhG26K3FiBh/PFk5QB3QUqkRXPBaUdH6wWje3a2DY80ZC/j5zxzKjr8yD/CsSOUUe7w3D5gATv
up+iq3kEj0xF6CGX2cPJQMI3zA+ONfhBa7hOnXwBSYRYHZbEeXnBLj/0c+hasAHCKfM6M/tSz91J
btnfR01at+20qWOklaJkv0zqHkj0KkA6hhb5tpj7tSE390AR9nFSXAxxmLtS1JzTEju1w3kzmNHG
GJH0Z3JshcE17rb3UkXGXTXTmTqybXX7NlfiK5CF53GdGV61pDfDXJWrpsguEkffokXiS2Hk92F3
btvSrk/j7zZoOg6jTRnGflYNUMDVz3HCGzXt20ScCwZq8bPjd5Zr9jT8NoZ2mjY2Q6LAF4GkNB8j
nq2Iu+JZV3PFZMjX66/0VUFXFfyVZnyfQh3X+CBnrjVtLbO6wuL90ASZly/WtTSOJ1ksrZtCOojf
VdJdDZf23EmjvRUFfttlB4yb9/ko/HmNeQOB/QZjQH8Io71QKhUo7FxaPgWacWoaLDxp2Wm4BHVh
D58bZKozbQocrjFW3taScymijhTLm1DRTu0s2oADR6LF2IZYqus97t0FbTqtcgqXftfDjEUuLnDi
nxVSVxybLSO9zLk2DPNTi+Tz1GFwPEDGX41KfkhqeVOhc4npIRJp7a5FskgOdOyJor3UjesiTfam
EfojukhaCbSznb0q6HbZgOnviI5Qx4MFPxiH/VXAiM+um3OE+/1Snz1tzrywzr1i5DMhi9AaO5dx
8re2yFOwqUjPqc2ub/W9eNVRxr+bJFa2dCsN3W7URx/Q71YOBzerheMI3r/htB4iy161QPCKod91
Y3hFcrxP58VDPuFpDQAi2DP3fJyRP6pVWBfR4llqeG1Gka9nnC4crKZ6Yys9nJFkbwC2D3msjXg1
oopq4i8tOEg9Z/DIOhnyfIth36dcnT6IUL8L8g54DqZXcBghJB7Fp6Y2M7tTHU+zm3MLSYiwmDa9
oX5w7KvisDgO8sINDmEN9M0VYaPzMoFLAj2ralhOIK/Tx4hd3Jgh2M3yIjNmr1X0fTzn215YuM1l
79dScYHhyJ04U2Uj+BwhVQDiN79C8egzvqwH9NvcZJq994+itw1SMgNA52BmEOJA3vsozUTAISry
wKZ5p8wGXXI5W83O8m009G2iavuJ/5ccZQ/6/GFBhAsk+sbCsG0Vlh91K9/2WcStOJaY43BqoKj3
+oGpRjZmWsa8YR6jq7izb/RieejTedPRozMtql+tOynG+j62Ore2CBYQed5/HL9dGy9u4ehpTEMu
5S1dZM/QpjOrDkG9l0iMYkH3/nV+tzjA7+m4nYJ0ZY0cLcIhq2NJ7TQxW8m+VLJ+CnQa9L+x7Rbn
aY8UQ+Bb1kyrPHFrLbqbm3PdkdYaUcgJmp0kD+vGcQ5lE+/znm0b9R+0qn+XNnN+M0thquHwh6Nn
YYZzg2uRGKeUiFfMgx/hbt5Kkp+kSM1nw1qQTnrJ+SSFtKByjrf3n9Fv6j+anAiyc3owvz82+ZQS
S4vqSXa8XPk6tZFvB+q3mDwoKz4q/35T9zAFhGiIxrXNH45ehlSh6JRmWMioyQ7vUN9MVC+hy1ip
80ardCLyT5Ts3xZa6pOC8FFwENgy5pbU/RBKjx5uZkL772IuCfnNTzk4eoPhUYMlD4luo6jRyqrh
C/BDUXUK1k2v2RWgyXQrVgQScK5e00jXRn/WBwSI1a0xZ1vTzA5oEe/x4Nm1XXhH4wu2hbzp88Gv
x8FPzNyb+Ew+Db5FFtSE4Slej4c8lm5pnl1PaeQndXuuzAniec4hTjn8ImPfNXgbhgbCv/G+zaHP
NcklRk4ri0ZnbSZ0PYuvMBxu5aw+NNy0+Hw3IetIP7yrtG3HaQO4E/uc3sfBZS9N0Z3IxnquB5D/
xKgjv8q63VCEp1OS4GjVnetz4A9kgTPqAwr0IJsyW+wS5HI4D5tzmYjpZPpWJEvgjdw+De9CXaLF
KbhQyR5J68fBTrcatbLeT1e1s1z0BT5MKbZfZkWKGLc7hTxYZFoWh203DJxu2TaIJD+SpSs7DTeG
Em447dBwmb7paneyhNOZiN9zo+8D9WtcB1dLlWGPJ520DnZIARpEIhUJBvugJeEum07NqPiq9OEm
gDtal8Gt3JKCm/aBNoQ7DwaUPH62dG5bsQqc+DIk+6zJeq0SvHvnHGYLa4Um2o+Ie4pnOHT1uZyH
Vw4TAEV1NuJz8UJiyIkqT8YWMaRTyeGfUboe6/hx4vmVSX+S2zfNMFPpGS7Wf+tOhkTAga+mjGKC
9DItMw8A5dViOX7TkT9lmTfK80YkMnri3No6zVAz0E5baQKVbn0KqEcCpzu3ivlsiIcTPeXAT3in
rLUQE2o5zQ+GCe0hP1+s5CppSLrbr4DH3HrML0TPyA5Iq4xxo1TafsyHXTVD4eAU6nTkP+L0cplj
NyzHk4LitDTSy4KCNXHgWUkNj40PR0if75cquha9ELFGzAmOFGFqGAlPrEFxxMLj3c0WDJx22ehy
znodfUfvdibRtQtYn2Ap1WbZNJHhinfTSD0CnCaUVOnaKnlAEmVnnG2xjdoqDZnceMOW/vR+sHt7
+An0gBhTwnVmVvdmMqjISc93ZzIYSteiHlD1/mQhqxTLoEj0bZyG15a1bGJ93rQBaaDmfFCWvgm4
3AJNS7ThcPkQEsqvz99SruVG1ibmHJD2h6KDSaCDX8u2c/5PVPM7AVDE1FcBUDRjTEtTEV8GPnX8
fSHTSgUuXbanG8legvvKJK/D0qmNrix58bSFNB49yUvUWHzgdZukVm7raPqKfdpVNddoxmjqPqik
wxCNawqZlTSND6Yeu/YUYoJaUnISGxR8ZCGNkqkjBHlI0ng/LBjcdbZIc8TDpUhjorTpYyzpZooC
hsS2Om5Gs3dFs2tBBBHxwWljVvBRR2SacUTYBkF/AhFwX1raKZTpvaHRP7LiK+qPq5atkzfjmYML
ajOPAQoT4wpNV5L/WT8ts7DwYkB7iFUsWNWGnxN7iVamuZwVygw7XFSgGTFKUztIoQVRcMkPemOe
jl10V2jxpZSWF12TFyt7CvzGoKioiJe4UhNjWatMRGY1uGqU4FqGEViMkk8cfvr2HSZhWSFdSxy2
6IlGV70aAqOSs62udw9SE/2YJxOura1tzaK6sM1+N7B9JVoR0AGv0iRlfDQE16VpuIrGGwhr6ZCn
4edOoyKkciyGAufBevCJBPswzjeQ2fYBKqOdQVFncFxFFGtqQQ1cDmtQEpPbhuFV3cmw6NZaylnX
2QfAytcp16RldqkE3VpeskMta3vUjU5t6ulMcnyxL1ronVqhI3Y2eyyz/Uyxr5lsUeqM3hjWXRXt
q2Rcp014JcIsPPxPygixtuvdoWHEpFeS9/TLnWTLfCjFvyZ2LYS6jDrbdiqH4iKY9vygB9wGSvpa
rQxxBEN115zvlgkYureNnRIxge6iWtuCRLBXkOgZ1TwCr6xWbcXL1QNUR6QU/vt0ptmzZ3QGwM/i
Pk3t67jpUTAWSJF0a3XlQRTeCUF5oZCq5O4hajIbdr3UrFJpmfcM2i/hAt+i9nXVqvZVTXD2nT4n
YOGcHLbBJ1FiRwmGGhO8O6np15jQQYVlcm6m0A9D38w4KUvD7UfsLStq61LycUfaydTJKA98NYGl
i3w7Uxy8pYmZsMiDk1LR9rT895mF1EFLdlIv01lqoTlUWhYD+1rLONuTL04xILeALG7PiOREnPRN
EX6QO/8mcgjvecYs5IRAwY569R3trXxucT2znZHsiIfJwWuKLQg8NqU78X5kfns5oZJCzo8yFlYf
xwgSOTYRsIMRDrqhPxH5SUTVbBfFvVjp1TR+cLnfHARwf8CloTYikN5PaIsXff8ZrBtgs9HySoJ+
RoHdxEhFpYsMbbFzEa/7Ks/R9WinhzjKAXr27uT809vkP2Ee+B/heonb+X+NxiU6438/JITSex83
P5gFFl3czUJ/TRWfeB4N2n8hcGTT9kQ29p+ymc8wRfuvpxEfukXYgL4W21T/QmCTpYwsBGZ3DB1+
jQYx1VUpDlnpaCbCcv0jeP4bBopJgkGxj9YQ7lxc7KgzW85qImOxrnhV3imfIxOFyakD7oIJTQP4
KJ2QHneMxXWarL4F7C9fN7oe7NrYtE8Mh1E5PMy7YNRh/9ep3bsy8K1vZSsrmO9FYDP8MVPy1Who
0bodpBGg+NL7SyF3pM6p+anvQ6Q8R/QfvqRZYZ+CTjJ/SHGYZGga2/VumtQEcEJqc9rNprmebSQ+
5z6P1jwY8PNjOQZfrFZZrl+8w4ufScdLQ8Pj8k88FrpBEH0Uthxo0Nd5T5OFC+KVquK1Qx3Q29RK
LyuGyjdarfYmvBJ2LQRMP5eMfPN05f+EffZfmP0ibDj+fktdx0X3D79vu/su7tvXO4sPPu8sFdEx
GCXASxAjQjeVd/i8szSMpzGMYYRuMJUHHPxr6G4hY2uIaGpinIm6LL/w19AdDTNYX5BenlRs/wgA
/DtKpJjr0+SDs6mDCH29hCif5zQpFHZWHVjubKGqMd2HU9htCwd5htYA40mx3sSfAZCIHMa8Vg0h
ww0yNmGWQEmk3yGWkKyDxUKqABP6JmsvlFFedX0pebZVXiM/Km+0ZLxELNrtkmR2/3wx/ndgGhqC
w/HOgrwXK3J1D+L0f/1b9iOfX67Jp8/+WpN0jwVBkGYlJEGhdve8JqHpCtgOYelptYot8AwEQT4P
LAOQ859odYER+bUmEeKE1wUVkWgkNDr/gIz1dsjI/BINcwBZ3ATg16NhZovZtCX1o+rNcoSbdzJj
mdZJMX/6pNVoB4Xqpu6sHw4cKjPOsxX9KMlvIJpbPR5rnRrfBAe7sZ21Pjvod6iWVzjarpjxN0/6
7raTMYdO8/LUofiyJDQIEG8v3GEIei9ZgEc2ijRsrMmq8UieGn9GD/dEXtI9cPHv/1q5zXz1Ay3m
4uXqAwaGbuJ7a1cs3dN71u6P333weeESMYUHkAXLmfqb5OPXwtX+wp6NLjxEJlIOsQT/z8K1/2Je
YguyIOjLn0SL54XLj2QiM1Y0gpPIkv6Ddfvkg/S6M2BYjgN0XCdZwS1JtCleJMBdWUYJzi4agDvc
yBrFHHB9qW+NeKWX1W2HMs0qKIubHpl5MPeh7qZZnLkVVRBFTvKZY2Z0dTP6aFLy1AU+ui+mOCBI
KDoAd4lH8/K+xoxmdIHEFf6r2Dd17VBsjUY+geLxAFhP8mHIfoWSpKyibLmooAGmhdWv9Ky8nRd5
3llMZDMDCcHK/qQojbwaQU7QaTkFVJwBOURoFQqdsSpy+2LBf92zRgsNn3SoQe1rydoLUwTHHXuB
0ICokosEzUZFfci0kXBF/mNGZ1E+oeDMvD/fXf+/U3RFJcn7/OhU+CnB/I//sW7ui28//uervfnz
NzxvMfIVdBpJtdFnfgrqr7YY+45OH8gWCE3CQvj5bKB+ELL7T0L4ZCcvQYJsMRIW6DjIIqN6g2zK
H+wxzpij5pvBuE81gQXAG2EE/Xopp1PadhNZlTcvirot61x3I22R6afE0+rFY/pNcv120mWynbkS
2DrMRv43d1ez20ZyhF9lsJdNgDgrkZJIAdkFKIr6l6wVZS2yF6NJjskRyRlqfiRRQYBc8hA557SH
3HLMzW+SJ8lXPWx5qjkiKXbBdryHhUkKNTXV1dXV9fMVepb4s6rbGD/0eLtb3b9Nnh6OMKBnHCdA
50KXbrMaPTb7D7XpXniPucfxDvB/JynigI+jgzrgbvaQHto6TD8EGAt/lA6fdvfrWxgauREM9rfi
8Kw23Fg6aZhCnHN7HFYP6LUbONbtUdGVelpL7rF4+0lUu+kPn4bocKqPzur1wXmEuvbHyT3gkLGB
MS8LyEN3Rxsb0/Dw9hEYXuOkvrG3/QZAWJNsuLl3V613hsHddQ239+YE8FTj2h0NYsmq+5X67R1O
yDcYBDOsHjwiBn/YH9ROEIV4RGcukgkYplPfv72opEnYDNGr06/Hd80HICkBgy0KDjYrtyf1jdvT
eOd2vxoEvUH9/VX1DtUL79EEUL97f7L9Ptpuvd4GfE2+4eyGtQ/EF+RycBX/GZjGODGTDJ2mZmPQ
r5cRjsTraL0/WkxoFgQA0Jb/43fdKAvT0jMb1xFmVjRHmt1FBEa4DqVZD5R3gAZTQz8/dBLXFfyH
0xrjITAyRf/8Znfnj4jYo04PU1zM73hgQUIvyWDx6+XCXPw3i96gECIhABsnGVR3MWEZhZNAg8rf
EfcrJoNdeDQo7QRaPTwHch6K6r1ID1YS1LNGNQHv1NO6FPhJmcq99AdGjPO/z0SoQ0k0y/DZrOs/
JeXKn56Lkz7/xHRNL3Thxz8hqFb4yP42B1Iq/Gq0pPismeLMc1r6DubLo8CPVdwdTFt6O87eitCb
fvyuqULVU+ywxKb4xMbc7nnWlUVUD2PfD6lr2JAiEVKVtCvhc//RQkbXvp4r2RzB5hJyin0N9XEe
YJQDtNhwrFWAvBDXJ70LMU6p57URUvETQ05Tp43oSr0JArEaeY2xH1uDhxARrFM0VKtAiV0EMyst
bVPFQafjKyYaXIthBWnsyBL6ZQr8vM3n1Zrbudf/PmOH5Isq/U/IWsU9tWBP/h/s30aYYmun1mJv
L1fVL7cSuSYa47TuUhT5n1ni4lct0nNzELBnmV/Ml4vs2B6Qm558o9X5NjWfSvbQqlsoQkTVw4gH
Zne3BfZ/a+S11ehe9aLYsElM6zTISxt/RaYPM1issRoxnrGlXt7xKxI+isJeFitmDIEV5074AgKO
VT9jHG8uNIIrsnyJQ3PMye4usq2abJl2fh7Th7QWal1xea1SJgsQU9tVZ0+m+DbLt1/xr83+K7ho
Ziu6GXjcC79FD60x6qiQI+sJbI5GCBsRMx1GrOPF03vFjdFArijmvBJmnytZmOF+kI0NIW2HN82n
9e3wXpRAsNrfO/LjJ7+PIdEhEwklAASYV7GVPRMwm0Ak68MVY+wSjpYru/t+OFbx0BAiWVMu2pXs
cezb94EdAYVDkWVkbQ6qVnPltvnkdwdctpQmciV7EMxdiqi43JmsiiO/DKaJQJWcietwqqFD6kDo
ha5UD4MO7ilwXQ0pIrwrsHKHiDWFiT9ldJeezXlt5CJP8NCPxyrkZCXkgItylzmYNCbSVbqYwYAQ
FTMNiEG500XHC2wOE4JO6bvye9ydMw5Ak3Dn9zhVI86thqR19IRP/NhSsE2qKXAVwokKkR6c8uQg
cgDulM9Uem9pw5aAdM+CdJDZroluB3YVRRtzD9XQZllAxmcB7Dryr0nqBzyAsSUh5+zRH3eiLO6b
NSOrBsws83F9VwXFxz3IxBDSdLcFzNo5iub4pEE0eJmnOLBLtt2Q0czuCKzehZ8O/HgOjBD1n+ZR
63N8EcUPitsKiaMZSTgrCoox2u7cXkZxmvXVyFDSIpaIr15FOOX4xkPmwjxmffHSjvZtwlTb4Gwq
tNUESjPHZZa4dbQnqDYyHJKEcXs2Hx0kca9woYt7hpImTIlZZ0k8+D1+eGhYFneyQfqU7zrDY86y
wIZ+N4whYub+AHPBPGZ9Gc+C7KdB2O9F/NpIjauuIrmBc9WF3qFoilkMIAe5E4dFxgHl92Ou0BK3
mrYfd6y9XROQNvBhfS/6AOeF7RYN9ekuDxjmdADaXb9n3/QwM0DCnwPgQnTPpI0SKyA07boz//Hv
ZP7LrmZIlxIiNNDiqWwLgJzLH1cWRPs8AURUpEP/WJSONmdJ8hOudYjttSRxEnWRP1ryN19DcrTx
wc6ioVbT1orZK68aISvN1+jklGWXXkk3sXY2ukvdOG1lcTRhtnlTR1id2Mx3c1l6UufXnWjr4KMa
WXKgTm43QbSjDBaohGcUEe/OuZ6vW7a3tBM4x6jjBDwyRpoATrSGbk/UWbrxf4lSm75tO9GmhNZ9
DBDfqgCyGmkBgtp48WBMVtRu6IyyFBFId6i01jO0K4BGBUj4opvWqg/awwUj6Jak0QmVgNpogNuA
5gIadSHxuHMfmMtRqsZ8qQgDEj1FqNNDi0OtCjysRcfpqu92rvqD2O+Y5SBvC0P8ULEIdUD5LxAM
ARMm8aDnVL73ws2qLHG0TEm+3Cm1BSwM9wRQkf/ZIVf8qoX9LZBXVgPyfItLLHG3aE4nVqZhe872
ZcVSuJUqPg7Vk8JOw+haxi/Vur1oMFa0F8cILhsqpOcYnmY+ru/9Hyex8vnVWEK44PXOMKd5JfA0
VwGcRHHPEgH1L7mSPc0eVJAaOprbqgDZMx+pSF4UhSPQPGb9FXuLoIOhopndEQit/4xjL2ZU5w/S
12+Gtsp6gdeIlX2TWnisrbgd2lMroVehuQ+uyjC7DRPPXmscxHOVZxUBaf/iJ9SYFbLEIY5Hd/b/
7I+tsIZEPvIi8qB03yeeHZ/DZcyd50MK+3ntrNMLKCHeZVsRvcYSZhlNNJ2ymyVqZwD1LRFlbHQy
7zxLlJGH3po5dQEZ/eWq1W5d3bT2/+qR8iBt583pPxwsYLpXMY8PDRGYdLJF/b+L90PZYf15bsll
rucqd+aCEZq7ExffZrk3UvzrVtFREayjpBuw61stKLn8QmXQjVEfFbNM0wWMYiPswxAYjaXts1R9
l2ei96I0eUABWpEsTQ1cvC1WoIv4PDuFqfnJmWgWZ2EvMIRIBNQe7kq2OVA9Q4VoSgSNr/xJ1hnh
UolQJvJMXhN9HCwquFU1j1zf09n3x1EXJzAes/x5AhrYRJF/HHGXbbkNXa4szWgcxRFutPlK0hro
kWBkdKbri+e5fl0H3sJnGbHnCPgUTTXxvRs/7vmM8qIQyIou3P5tgAxwyjSehnO5anyrP50wL4Ka
jZ2J3qGoFyiU6BgAilboM5tCYDrOD8AkuZiTlcg4tNJBEE24ua4J7M5rbPtDNbZce2pydhXEoerw
TVgXWL7DgXUMzEc6s9ff9ucUAc0d7gJofvx36nu974/vIwukBxOD3Mmf+uGUaW9J+Pv1sjgLOrZX
gAm+7tyeIZyYDtjhgoSTAN2gY0lhS+CwPUeDWF8lKKY3HJK5B0qG+bi+vUe9U5SmzAgD90CC7kg9
MBusxzG77uJzZBcMc1oGC4PmK54Y5zhIu3YNjohsM5rjySuPMSrJvIDLqhFlO2+xKXHMnUdPZH/R
fGfY1HKWKBW+CODiM6oSR4amyk8izNkyj1lfxvl5/AaYmonKDDkti/mU0+sN29XH37LQAjABpp15
zvpsX+FmwttJATziTrbtT7sDfzTymccJeFIB0nl2by7Ti5lPAsSpkoOXaVUkClvb1KmqvDM/sqpn
CAjc1cq1UQNmZ1El4vLtzAp162H3rtxeR/yWVqkKHNDtj/+MPMAnfvxNd4dcxh//FXYDng2vEBy/
M/fYhlbCFLUgAnRV+GQbaA107srwu/7cBpeoJd7L4iF6b7wDlTC3CMNL3YWBTvfA8ukrIt2WiMOg
3oW5BEBodmf417k7SEWifvbXYNxRnQd2tGIaszu/eYXE/P6WKMzdC2LvGs4cS+ghJOzOdaMz9dna
1SqAjgKO11YdoDhA/SypHMms+1RZxPXzRJsx/OGb7Gf/0MetFlkTnhEUMLUNVLF2VHDLCQuYl0aM
BBV3AQUu98il9Ueq5ycDo+nk/Uk0mpxPFbX4MbISDA8ye9EETMse4sd8lxL2m+sphrBoJ+rxNZM4
xtpx4J0hCcpCERIRA3RG84i/xLmIzvu+d0r/azeujFD1HUPCZz9Gh3HoW87NJk2ycV09UOZLhzF9
7lRP1ISbhk2J5PvpNO5Pn2xzhlPGneG8lvI0sgKsmzR521XE+YleQltgS5+inmiIOZmWtCX29Zni
OQkUV7vLArXnKprbIoSV5ypl1PojQWjpsoRnikBVL7jnt2U95MyZYwCATO09LZGKuPAn/J68CRRF
ZwFfqhiNA6PSMgmCBHYVxyW6FOcUWaKN+RJgZsFkgpxMYrjUx//Cus8VA45A9e6rCcwGo0xQr67i
uB6owK6nqVQEzutrdRvMSxruugDPKkDMytDJfSwJjnGhJbfQ1o6KhEV699TxS8Qh0Wh6E/gpwG2Y
PCRM3VvUQUX33nGKgoCJ94PXQt4xSrPZziw+DqDvGwILMHvgaRaqZIA75A+e+WdQ9lAawGy4WD/8
2Z4gtz+altkblKVL+D7nQa+HdquWSlLDLulsXvv88gaGFVmp1ncmtTYmeKHcPYTUnv+JNi+rlZUG
QgL90vCxvthwXKmpwgLFwei/f/tHMqRPmMCExBM4OELudKzMqjF7iOaOHcyCdufgOkA9wxvk5Xgy
qlbZ3a1uSCiGj0vB0Kh78sN+oKIp7kuB9zPqYxSLee1i5KCe3OxqjvejYS+CAK/VENfIgCNWYWYJ
OiQEFu9UZUEcsLpPII1vAHVfwFe8VG8wOLgLLBYMDs/MOud3FP0MgbVv46ZdQlnABp2pSTqw3Jpc
NEsPri8XWHrGcnSt8iu+AtkGtAsWv2oVCxTZs8wv5stFuCyNOOuw27aAWw5MRcxmzoGhMGuig7xF
UT8E8gsoDMyCES8NlHDAiFuA/zEbKdEiS4Uxe2oA0DtGWuKC3FRTFGKXnZgS7kzT0g5CU3c3q2ME
/Tl4o4TzsB/ldMvL3mhEtSvngOW10X4l6sQBDdkDWG7G82MSeeojdLGwEP2mxGF8Aj221g/Q/u7i
zScQzBUvSBRGEipAQjlf5vVtSvRXXAIxK40IjpR5IRWJPogcV/k0SNNEJ1IvfMztNYLOL7QCx2z+
lLOsyyMpGBFgHrW+a3oNaJGgp3qa/euog05aQ1TzL4HPdI27Yi6fJvQySsqMYWW+nTuzclHLq3Zz
Qd0EmI+BWTTw5nWhc24V5kINEqVje1SBlAy8myDuB6VGHg0eRp7rL9K79sInCBzYLw4XdC14RsM0
ootGBFqlJMqS2op7RZWagH1bNg7OURa5dsKFeXm4l+sTloxgciWvp5Plp8DCOTQLn1PmIy/wnAVb
ewiY+5vMKWcIPtklTRLgU8jAfIhGw5J4Ek3vASD+7s4OoGTqdYBbLD3nvty65zgW5rbVpDkas/sa
jpRPPuf/3WyLRtwn7nniVCIIt4ekjYWoKNG1vRerJ17nIlHLRuvJQv0S8bJmNIrsPgmJMHGri7sE
B6+nWW6flHC9eSQHuPh0B9TkYnVMSFQoHajRkEKjZW5bTSDAdpihYINFIBBfc5dJG9FWRPqZamwu
BDBZMYZMSTeET6aGRR2to2ldrqt46ceZoZITXWpUl/vE7+LMZhbTvMxj1vdJb1D6+4QZMmzhAEiz
jPKXOwbKgIe+wUMhH42DZnM1jtjiSBRm7wEm2g4XClxw2mRuo9ILlEQlSTOiW+fvTn2MOwn7vy8z
ZBK3QV2wQn3+cJHJEJc9RwLUthlFxidjwQYJZNuD4JYFpCSqFA4A3EmoHGYslAZTDLrxfPnUwglL
K5rn2VlI4yHnyrMkhqPM6OsKIlpsOhmfpxRRdVyPLYrEwYAAJMtYSwC9HPkAaZ1pqH6H8+4+wJJH
5jv2EkDGW2bXl59Ep0ijdVBQbijpI06iyaA5iFGHgNj97HX4AwQ4v/AfvKYalSB0SsCWXgRWN5hE
C/GNCtH7zN0JiRjJhUKBAxOwxJ4lAf/qI0vOJ+oBQdQ8an1H5TJIuyrARs0T/FyvJXqfL9UEyTR6
hfkm802ZJPHI7pETUGocUgmSt+XFYxKDr/J415E/QlLmD14jQVA2QU9eHmmmHYu0GAogmlk4YH4K
YBTdV/06GsI3ZZqqp9C7+ujXKGnk3EqUo15nQM22mBXw0X/B8gZ55P0gS1EpZOSq47ASucI5J7Mi
UXLRpNpAytqYTVvkextgnrUaBn5tA8Z4A0UeEjj274pjK71zwK3H3tsMpU7wF8sMBx6KJ28AvImm
YgPJdDmaxBe8+JRgobpefIpvMwumFb9qUQj403jCF38SjO6WAbF+3rfMXSAdXzTvbxhYVOJx6EfI
HrG9KVG7e5UlViFzRSK5fP3xP2hlnPrFLQmYXfPxpXO6TAM+T9S/DMTWLMu6seDi23wd2l+GoPuV
vWVRaGZ/FIYkzsqnuiNcTH76HwAAAP//</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60960</xdr:rowOff>
    </xdr:from>
    <xdr:to>
      <xdr:col>25</xdr:col>
      <xdr:colOff>640080</xdr:colOff>
      <xdr:row>40</xdr:row>
      <xdr:rowOff>182880</xdr:rowOff>
    </xdr:to>
    <xdr:sp macro="" textlink="">
      <xdr:nvSpPr>
        <xdr:cNvPr id="2" name="Rectangle 1">
          <a:extLst>
            <a:ext uri="{FF2B5EF4-FFF2-40B4-BE49-F238E27FC236}">
              <a16:creationId xmlns:a16="http://schemas.microsoft.com/office/drawing/2014/main" id="{0892EF45-EE52-AFA1-10AA-10043A2654CF}"/>
            </a:ext>
          </a:extLst>
        </xdr:cNvPr>
        <xdr:cNvSpPr/>
      </xdr:nvSpPr>
      <xdr:spPr>
        <a:xfrm>
          <a:off x="60960" y="60960"/>
          <a:ext cx="17343120" cy="804672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19594</xdr:colOff>
      <xdr:row>0</xdr:row>
      <xdr:rowOff>144780</xdr:rowOff>
    </xdr:from>
    <xdr:to>
      <xdr:col>25</xdr:col>
      <xdr:colOff>446314</xdr:colOff>
      <xdr:row>40</xdr:row>
      <xdr:rowOff>38100</xdr:rowOff>
    </xdr:to>
    <xdr:sp macro="" textlink="">
      <xdr:nvSpPr>
        <xdr:cNvPr id="3" name="Rectangle 2">
          <a:extLst>
            <a:ext uri="{FF2B5EF4-FFF2-40B4-BE49-F238E27FC236}">
              <a16:creationId xmlns:a16="http://schemas.microsoft.com/office/drawing/2014/main" id="{3299CF76-4060-42AD-C9EA-2CABB8EAB9E3}"/>
            </a:ext>
          </a:extLst>
        </xdr:cNvPr>
        <xdr:cNvSpPr/>
      </xdr:nvSpPr>
      <xdr:spPr>
        <a:xfrm>
          <a:off x="13517880" y="144780"/>
          <a:ext cx="3801291" cy="773103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137160</xdr:colOff>
      <xdr:row>0</xdr:row>
      <xdr:rowOff>182880</xdr:rowOff>
    </xdr:from>
    <xdr:to>
      <xdr:col>19</xdr:col>
      <xdr:colOff>556260</xdr:colOff>
      <xdr:row>40</xdr:row>
      <xdr:rowOff>99060</xdr:rowOff>
    </xdr:to>
    <xdr:sp macro="" textlink="">
      <xdr:nvSpPr>
        <xdr:cNvPr id="4" name="Rectangle 3">
          <a:extLst>
            <a:ext uri="{FF2B5EF4-FFF2-40B4-BE49-F238E27FC236}">
              <a16:creationId xmlns:a16="http://schemas.microsoft.com/office/drawing/2014/main" id="{BF085965-8CAC-46B1-9E8E-748D9D412251}"/>
            </a:ext>
          </a:extLst>
        </xdr:cNvPr>
        <xdr:cNvSpPr/>
      </xdr:nvSpPr>
      <xdr:spPr>
        <a:xfrm>
          <a:off x="137160" y="182880"/>
          <a:ext cx="13159740" cy="784098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251460</xdr:colOff>
      <xdr:row>1</xdr:row>
      <xdr:rowOff>68580</xdr:rowOff>
    </xdr:from>
    <xdr:to>
      <xdr:col>6</xdr:col>
      <xdr:colOff>68580</xdr:colOff>
      <xdr:row>4</xdr:row>
      <xdr:rowOff>15240</xdr:rowOff>
    </xdr:to>
    <xdr:sp macro="" textlink="">
      <xdr:nvSpPr>
        <xdr:cNvPr id="5" name="Rectangle: Rounded Corners 4">
          <a:extLst>
            <a:ext uri="{FF2B5EF4-FFF2-40B4-BE49-F238E27FC236}">
              <a16:creationId xmlns:a16="http://schemas.microsoft.com/office/drawing/2014/main" id="{C91067B7-215F-1808-10E6-696318578DDD}"/>
            </a:ext>
          </a:extLst>
        </xdr:cNvPr>
        <xdr:cNvSpPr/>
      </xdr:nvSpPr>
      <xdr:spPr>
        <a:xfrm>
          <a:off x="251460" y="266700"/>
          <a:ext cx="38404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220980</xdr:colOff>
      <xdr:row>1</xdr:row>
      <xdr:rowOff>68580</xdr:rowOff>
    </xdr:from>
    <xdr:to>
      <xdr:col>5</xdr:col>
      <xdr:colOff>642258</xdr:colOff>
      <xdr:row>3</xdr:row>
      <xdr:rowOff>99060</xdr:rowOff>
    </xdr:to>
    <xdr:sp macro="" textlink="">
      <xdr:nvSpPr>
        <xdr:cNvPr id="6" name="TextBox 5">
          <a:extLst>
            <a:ext uri="{FF2B5EF4-FFF2-40B4-BE49-F238E27FC236}">
              <a16:creationId xmlns:a16="http://schemas.microsoft.com/office/drawing/2014/main" id="{689694B3-1F31-7393-E2A7-F8998DB00FD9}"/>
            </a:ext>
          </a:extLst>
        </xdr:cNvPr>
        <xdr:cNvSpPr txBox="1"/>
      </xdr:nvSpPr>
      <xdr:spPr>
        <a:xfrm>
          <a:off x="895894" y="264523"/>
          <a:ext cx="3120935"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Revenue by Country</a:t>
          </a:r>
          <a:endParaRPr lang="en-GB" sz="1100">
            <a:solidFill>
              <a:schemeClr val="bg1"/>
            </a:solidFill>
          </a:endParaRPr>
        </a:p>
      </xdr:txBody>
    </xdr:sp>
    <xdr:clientData/>
  </xdr:twoCellAnchor>
  <xdr:twoCellAnchor editAs="oneCell">
    <xdr:from>
      <xdr:col>0</xdr:col>
      <xdr:colOff>302623</xdr:colOff>
      <xdr:row>1</xdr:row>
      <xdr:rowOff>53340</xdr:rowOff>
    </xdr:from>
    <xdr:to>
      <xdr:col>1</xdr:col>
      <xdr:colOff>185057</xdr:colOff>
      <xdr:row>4</xdr:row>
      <xdr:rowOff>22860</xdr:rowOff>
    </xdr:to>
    <xdr:pic>
      <xdr:nvPicPr>
        <xdr:cNvPr id="8" name="Graphic 7" descr="Earth globe: Americas with solid fill">
          <a:extLst>
            <a:ext uri="{FF2B5EF4-FFF2-40B4-BE49-F238E27FC236}">
              <a16:creationId xmlns:a16="http://schemas.microsoft.com/office/drawing/2014/main" id="{82C9FCD5-C459-F457-723C-CE2F018A7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02623" y="249283"/>
          <a:ext cx="557348" cy="557348"/>
        </a:xfrm>
        <a:prstGeom prst="rect">
          <a:avLst/>
        </a:prstGeom>
      </xdr:spPr>
    </xdr:pic>
    <xdr:clientData/>
  </xdr:twoCellAnchor>
  <xdr:twoCellAnchor>
    <xdr:from>
      <xdr:col>0</xdr:col>
      <xdr:colOff>243840</xdr:colOff>
      <xdr:row>22</xdr:row>
      <xdr:rowOff>57695</xdr:rowOff>
    </xdr:from>
    <xdr:to>
      <xdr:col>5</xdr:col>
      <xdr:colOff>662940</xdr:colOff>
      <xdr:row>25</xdr:row>
      <xdr:rowOff>4355</xdr:rowOff>
    </xdr:to>
    <xdr:sp macro="" textlink="">
      <xdr:nvSpPr>
        <xdr:cNvPr id="9" name="Rectangle: Rounded Corners 8">
          <a:extLst>
            <a:ext uri="{FF2B5EF4-FFF2-40B4-BE49-F238E27FC236}">
              <a16:creationId xmlns:a16="http://schemas.microsoft.com/office/drawing/2014/main" id="{3F28C5F1-4CB5-4C59-ADC2-4BE37F247310}"/>
            </a:ext>
          </a:extLst>
        </xdr:cNvPr>
        <xdr:cNvSpPr/>
      </xdr:nvSpPr>
      <xdr:spPr>
        <a:xfrm>
          <a:off x="243840" y="4368438"/>
          <a:ext cx="3793671" cy="5344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297180</xdr:colOff>
      <xdr:row>22</xdr:row>
      <xdr:rowOff>42455</xdr:rowOff>
    </xdr:from>
    <xdr:to>
      <xdr:col>5</xdr:col>
      <xdr:colOff>195943</xdr:colOff>
      <xdr:row>24</xdr:row>
      <xdr:rowOff>72935</xdr:rowOff>
    </xdr:to>
    <xdr:sp macro="" textlink="">
      <xdr:nvSpPr>
        <xdr:cNvPr id="10" name="TextBox 9">
          <a:extLst>
            <a:ext uri="{FF2B5EF4-FFF2-40B4-BE49-F238E27FC236}">
              <a16:creationId xmlns:a16="http://schemas.microsoft.com/office/drawing/2014/main" id="{D61D46EF-3002-4983-9EE3-5D89E2492CAB}"/>
            </a:ext>
          </a:extLst>
        </xdr:cNvPr>
        <xdr:cNvSpPr txBox="1"/>
      </xdr:nvSpPr>
      <xdr:spPr>
        <a:xfrm>
          <a:off x="972094" y="4353198"/>
          <a:ext cx="2598420"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Margin</a:t>
          </a:r>
          <a:r>
            <a:rPr lang="en-GB" sz="2800" baseline="0">
              <a:solidFill>
                <a:schemeClr val="bg1"/>
              </a:solidFill>
            </a:rPr>
            <a:t> Analysis</a:t>
          </a:r>
          <a:endParaRPr lang="en-GB" sz="1100">
            <a:solidFill>
              <a:schemeClr val="bg1"/>
            </a:solidFill>
          </a:endParaRPr>
        </a:p>
      </xdr:txBody>
    </xdr:sp>
    <xdr:clientData/>
  </xdr:twoCellAnchor>
  <xdr:twoCellAnchor editAs="oneCell">
    <xdr:from>
      <xdr:col>0</xdr:col>
      <xdr:colOff>295003</xdr:colOff>
      <xdr:row>22</xdr:row>
      <xdr:rowOff>42455</xdr:rowOff>
    </xdr:from>
    <xdr:to>
      <xdr:col>1</xdr:col>
      <xdr:colOff>177437</xdr:colOff>
      <xdr:row>25</xdr:row>
      <xdr:rowOff>11975</xdr:rowOff>
    </xdr:to>
    <xdr:pic>
      <xdr:nvPicPr>
        <xdr:cNvPr id="11" name="Graphic 10" descr="Projector screen with solid fill">
          <a:extLst>
            <a:ext uri="{FF2B5EF4-FFF2-40B4-BE49-F238E27FC236}">
              <a16:creationId xmlns:a16="http://schemas.microsoft.com/office/drawing/2014/main" id="{46C86D18-5ADB-4F8D-AA69-0920EC2D09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95003" y="4353198"/>
          <a:ext cx="557348" cy="557348"/>
        </a:xfrm>
        <a:prstGeom prst="rect">
          <a:avLst/>
        </a:prstGeom>
      </xdr:spPr>
    </xdr:pic>
    <xdr:clientData/>
  </xdr:twoCellAnchor>
  <xdr:twoCellAnchor>
    <xdr:from>
      <xdr:col>6</xdr:col>
      <xdr:colOff>190500</xdr:colOff>
      <xdr:row>22</xdr:row>
      <xdr:rowOff>22860</xdr:rowOff>
    </xdr:from>
    <xdr:to>
      <xdr:col>13</xdr:col>
      <xdr:colOff>220980</xdr:colOff>
      <xdr:row>24</xdr:row>
      <xdr:rowOff>167640</xdr:rowOff>
    </xdr:to>
    <xdr:sp macro="" textlink="">
      <xdr:nvSpPr>
        <xdr:cNvPr id="12" name="Rectangle: Rounded Corners 11">
          <a:extLst>
            <a:ext uri="{FF2B5EF4-FFF2-40B4-BE49-F238E27FC236}">
              <a16:creationId xmlns:a16="http://schemas.microsoft.com/office/drawing/2014/main" id="{441DA498-2401-442B-90E7-107305B5188F}"/>
            </a:ext>
          </a:extLst>
        </xdr:cNvPr>
        <xdr:cNvSpPr/>
      </xdr:nvSpPr>
      <xdr:spPr>
        <a:xfrm>
          <a:off x="4213860" y="4381500"/>
          <a:ext cx="47244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243840</xdr:colOff>
      <xdr:row>22</xdr:row>
      <xdr:rowOff>15240</xdr:rowOff>
    </xdr:from>
    <xdr:to>
      <xdr:col>12</xdr:col>
      <xdr:colOff>500743</xdr:colOff>
      <xdr:row>24</xdr:row>
      <xdr:rowOff>45720</xdr:rowOff>
    </xdr:to>
    <xdr:sp macro="" textlink="">
      <xdr:nvSpPr>
        <xdr:cNvPr id="13" name="TextBox 12">
          <a:extLst>
            <a:ext uri="{FF2B5EF4-FFF2-40B4-BE49-F238E27FC236}">
              <a16:creationId xmlns:a16="http://schemas.microsoft.com/office/drawing/2014/main" id="{890E87F8-82A0-4039-8785-E8DAFC1FD410}"/>
            </a:ext>
          </a:extLst>
        </xdr:cNvPr>
        <xdr:cNvSpPr txBox="1"/>
      </xdr:nvSpPr>
      <xdr:spPr>
        <a:xfrm>
          <a:off x="4968240" y="4325983"/>
          <a:ext cx="3631474"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Service Profitability</a:t>
          </a:r>
          <a:endParaRPr lang="en-GB" sz="1100">
            <a:solidFill>
              <a:schemeClr val="bg1"/>
            </a:solidFill>
          </a:endParaRPr>
        </a:p>
      </xdr:txBody>
    </xdr:sp>
    <xdr:clientData/>
  </xdr:twoCellAnchor>
  <xdr:twoCellAnchor editAs="oneCell">
    <xdr:from>
      <xdr:col>6</xdr:col>
      <xdr:colOff>240574</xdr:colOff>
      <xdr:row>22</xdr:row>
      <xdr:rowOff>15240</xdr:rowOff>
    </xdr:from>
    <xdr:to>
      <xdr:col>7</xdr:col>
      <xdr:colOff>125186</xdr:colOff>
      <xdr:row>24</xdr:row>
      <xdr:rowOff>182880</xdr:rowOff>
    </xdr:to>
    <xdr:pic>
      <xdr:nvPicPr>
        <xdr:cNvPr id="14" name="Graphic 13" descr="Target with solid fill">
          <a:extLst>
            <a:ext uri="{FF2B5EF4-FFF2-40B4-BE49-F238E27FC236}">
              <a16:creationId xmlns:a16="http://schemas.microsoft.com/office/drawing/2014/main" id="{C5FA4CF4-10C0-44E1-ABAB-D3907BD891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90060" y="4325983"/>
          <a:ext cx="559526" cy="559526"/>
        </a:xfrm>
        <a:prstGeom prst="rect">
          <a:avLst/>
        </a:prstGeom>
      </xdr:spPr>
    </xdr:pic>
    <xdr:clientData/>
  </xdr:twoCellAnchor>
  <xdr:twoCellAnchor>
    <xdr:from>
      <xdr:col>13</xdr:col>
      <xdr:colOff>342900</xdr:colOff>
      <xdr:row>22</xdr:row>
      <xdr:rowOff>60960</xdr:rowOff>
    </xdr:from>
    <xdr:to>
      <xdr:col>19</xdr:col>
      <xdr:colOff>370115</xdr:colOff>
      <xdr:row>25</xdr:row>
      <xdr:rowOff>7620</xdr:rowOff>
    </xdr:to>
    <xdr:sp macro="" textlink="">
      <xdr:nvSpPr>
        <xdr:cNvPr id="15" name="Rectangle: Rounded Corners 14">
          <a:extLst>
            <a:ext uri="{FF2B5EF4-FFF2-40B4-BE49-F238E27FC236}">
              <a16:creationId xmlns:a16="http://schemas.microsoft.com/office/drawing/2014/main" id="{091C2F3A-AB47-496D-8B82-67097AC40E6B}"/>
            </a:ext>
          </a:extLst>
        </xdr:cNvPr>
        <xdr:cNvSpPr/>
      </xdr:nvSpPr>
      <xdr:spPr>
        <a:xfrm>
          <a:off x="9116786" y="4371703"/>
          <a:ext cx="4076700" cy="5344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396240</xdr:colOff>
      <xdr:row>22</xdr:row>
      <xdr:rowOff>45720</xdr:rowOff>
    </xdr:from>
    <xdr:to>
      <xdr:col>19</xdr:col>
      <xdr:colOff>228600</xdr:colOff>
      <xdr:row>24</xdr:row>
      <xdr:rowOff>76200</xdr:rowOff>
    </xdr:to>
    <xdr:sp macro="" textlink="">
      <xdr:nvSpPr>
        <xdr:cNvPr id="16" name="TextBox 15">
          <a:extLst>
            <a:ext uri="{FF2B5EF4-FFF2-40B4-BE49-F238E27FC236}">
              <a16:creationId xmlns:a16="http://schemas.microsoft.com/office/drawing/2014/main" id="{DB1D691A-90D6-4527-89E9-FB310F534936}"/>
            </a:ext>
          </a:extLst>
        </xdr:cNvPr>
        <xdr:cNvSpPr txBox="1"/>
      </xdr:nvSpPr>
      <xdr:spPr>
        <a:xfrm>
          <a:off x="9845040" y="4356463"/>
          <a:ext cx="3206931"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EBITDA Bridge</a:t>
          </a:r>
          <a:endParaRPr lang="en-GB" sz="1100">
            <a:solidFill>
              <a:schemeClr val="bg1"/>
            </a:solidFill>
          </a:endParaRPr>
        </a:p>
      </xdr:txBody>
    </xdr:sp>
    <xdr:clientData/>
  </xdr:twoCellAnchor>
  <xdr:twoCellAnchor editAs="oneCell">
    <xdr:from>
      <xdr:col>13</xdr:col>
      <xdr:colOff>388620</xdr:colOff>
      <xdr:row>22</xdr:row>
      <xdr:rowOff>45720</xdr:rowOff>
    </xdr:from>
    <xdr:to>
      <xdr:col>14</xdr:col>
      <xdr:colOff>281940</xdr:colOff>
      <xdr:row>25</xdr:row>
      <xdr:rowOff>15240</xdr:rowOff>
    </xdr:to>
    <xdr:pic>
      <xdr:nvPicPr>
        <xdr:cNvPr id="17" name="Graphic 16" descr="Coins with solid fill">
          <a:extLst>
            <a:ext uri="{FF2B5EF4-FFF2-40B4-BE49-F238E27FC236}">
              <a16:creationId xmlns:a16="http://schemas.microsoft.com/office/drawing/2014/main" id="{51167AC5-2403-4097-AEA1-85D827E0F5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05900" y="4404360"/>
          <a:ext cx="563880" cy="563880"/>
        </a:xfrm>
        <a:prstGeom prst="rect">
          <a:avLst/>
        </a:prstGeom>
      </xdr:spPr>
    </xdr:pic>
    <xdr:clientData/>
  </xdr:twoCellAnchor>
  <xdr:twoCellAnchor>
    <xdr:from>
      <xdr:col>6</xdr:col>
      <xdr:colOff>175260</xdr:colOff>
      <xdr:row>1</xdr:row>
      <xdr:rowOff>76200</xdr:rowOff>
    </xdr:from>
    <xdr:to>
      <xdr:col>19</xdr:col>
      <xdr:colOff>446315</xdr:colOff>
      <xdr:row>4</xdr:row>
      <xdr:rowOff>22860</xdr:rowOff>
    </xdr:to>
    <xdr:sp macro="" textlink="">
      <xdr:nvSpPr>
        <xdr:cNvPr id="18" name="Rectangle: Rounded Corners 17">
          <a:extLst>
            <a:ext uri="{FF2B5EF4-FFF2-40B4-BE49-F238E27FC236}">
              <a16:creationId xmlns:a16="http://schemas.microsoft.com/office/drawing/2014/main" id="{B8353494-16B7-496A-9E82-85E4D30A2C9C}"/>
            </a:ext>
          </a:extLst>
        </xdr:cNvPr>
        <xdr:cNvSpPr/>
      </xdr:nvSpPr>
      <xdr:spPr>
        <a:xfrm>
          <a:off x="4224746" y="272143"/>
          <a:ext cx="9044940" cy="5344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236220</xdr:colOff>
      <xdr:row>1</xdr:row>
      <xdr:rowOff>60960</xdr:rowOff>
    </xdr:from>
    <xdr:to>
      <xdr:col>15</xdr:col>
      <xdr:colOff>0</xdr:colOff>
      <xdr:row>3</xdr:row>
      <xdr:rowOff>91440</xdr:rowOff>
    </xdr:to>
    <xdr:sp macro="" textlink="">
      <xdr:nvSpPr>
        <xdr:cNvPr id="19" name="TextBox 18">
          <a:extLst>
            <a:ext uri="{FF2B5EF4-FFF2-40B4-BE49-F238E27FC236}">
              <a16:creationId xmlns:a16="http://schemas.microsoft.com/office/drawing/2014/main" id="{BA74FCBD-B8BA-4E36-AC7E-09EB3FD29FF9}"/>
            </a:ext>
          </a:extLst>
        </xdr:cNvPr>
        <xdr:cNvSpPr txBox="1"/>
      </xdr:nvSpPr>
      <xdr:spPr>
        <a:xfrm>
          <a:off x="4960620" y="256903"/>
          <a:ext cx="5163094"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Revenue vs. EBITDA</a:t>
          </a:r>
          <a:endParaRPr lang="en-GB" sz="1100">
            <a:solidFill>
              <a:schemeClr val="bg1"/>
            </a:solidFill>
          </a:endParaRPr>
        </a:p>
      </xdr:txBody>
    </xdr:sp>
    <xdr:clientData/>
  </xdr:twoCellAnchor>
  <xdr:twoCellAnchor editAs="oneCell">
    <xdr:from>
      <xdr:col>6</xdr:col>
      <xdr:colOff>234043</xdr:colOff>
      <xdr:row>1</xdr:row>
      <xdr:rowOff>60960</xdr:rowOff>
    </xdr:from>
    <xdr:to>
      <xdr:col>7</xdr:col>
      <xdr:colOff>116477</xdr:colOff>
      <xdr:row>4</xdr:row>
      <xdr:rowOff>30480</xdr:rowOff>
    </xdr:to>
    <xdr:pic>
      <xdr:nvPicPr>
        <xdr:cNvPr id="20" name="Graphic 19" descr="Money with solid fill">
          <a:extLst>
            <a:ext uri="{FF2B5EF4-FFF2-40B4-BE49-F238E27FC236}">
              <a16:creationId xmlns:a16="http://schemas.microsoft.com/office/drawing/2014/main" id="{B66673BD-0089-48F7-8CF3-9DBFE7866B8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283529" y="256903"/>
          <a:ext cx="557348" cy="557348"/>
        </a:xfrm>
        <a:prstGeom prst="rect">
          <a:avLst/>
        </a:prstGeom>
      </xdr:spPr>
    </xdr:pic>
    <xdr:clientData/>
  </xdr:twoCellAnchor>
  <xdr:twoCellAnchor>
    <xdr:from>
      <xdr:col>6</xdr:col>
      <xdr:colOff>129540</xdr:colOff>
      <xdr:row>4</xdr:row>
      <xdr:rowOff>68580</xdr:rowOff>
    </xdr:from>
    <xdr:to>
      <xdr:col>19</xdr:col>
      <xdr:colOff>365760</xdr:colOff>
      <xdr:row>21</xdr:row>
      <xdr:rowOff>137160</xdr:rowOff>
    </xdr:to>
    <xdr:graphicFrame macro="">
      <xdr:nvGraphicFramePr>
        <xdr:cNvPr id="21" name="Chart 20">
          <a:extLst>
            <a:ext uri="{FF2B5EF4-FFF2-40B4-BE49-F238E27FC236}">
              <a16:creationId xmlns:a16="http://schemas.microsoft.com/office/drawing/2014/main" id="{D499F682-45D2-4289-BC31-B1122C4DE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121920</xdr:colOff>
      <xdr:row>0</xdr:row>
      <xdr:rowOff>190500</xdr:rowOff>
    </xdr:from>
    <xdr:to>
      <xdr:col>25</xdr:col>
      <xdr:colOff>190500</xdr:colOff>
      <xdr:row>3</xdr:row>
      <xdr:rowOff>22860</xdr:rowOff>
    </xdr:to>
    <xdr:sp macro="" textlink="">
      <xdr:nvSpPr>
        <xdr:cNvPr id="7" name="TextBox 6">
          <a:extLst>
            <a:ext uri="{FF2B5EF4-FFF2-40B4-BE49-F238E27FC236}">
              <a16:creationId xmlns:a16="http://schemas.microsoft.com/office/drawing/2014/main" id="{25F35BB6-2786-4C9B-9358-0B5450BEE84A}"/>
            </a:ext>
          </a:extLst>
        </xdr:cNvPr>
        <xdr:cNvSpPr txBox="1"/>
      </xdr:nvSpPr>
      <xdr:spPr>
        <a:xfrm>
          <a:off x="14874240" y="190500"/>
          <a:ext cx="20802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Filters</a:t>
          </a:r>
          <a:endParaRPr lang="en-GB" sz="1100">
            <a:solidFill>
              <a:schemeClr val="bg1"/>
            </a:solidFill>
          </a:endParaRPr>
        </a:p>
      </xdr:txBody>
    </xdr:sp>
    <xdr:clientData/>
  </xdr:twoCellAnchor>
  <xdr:twoCellAnchor editAs="oneCell">
    <xdr:from>
      <xdr:col>23</xdr:col>
      <xdr:colOff>68580</xdr:colOff>
      <xdr:row>4</xdr:row>
      <xdr:rowOff>38101</xdr:rowOff>
    </xdr:from>
    <xdr:to>
      <xdr:col>25</xdr:col>
      <xdr:colOff>426720</xdr:colOff>
      <xdr:row>18</xdr:row>
      <xdr:rowOff>38101</xdr:rowOff>
    </xdr:to>
    <mc:AlternateContent xmlns:mc="http://schemas.openxmlformats.org/markup-compatibility/2006" xmlns:a14="http://schemas.microsoft.com/office/drawing/2010/main">
      <mc:Choice Requires="a14">
        <xdr:graphicFrame macro="">
          <xdr:nvGraphicFramePr>
            <xdr:cNvPr id="22" name="Service">
              <a:extLst>
                <a:ext uri="{FF2B5EF4-FFF2-40B4-BE49-F238E27FC236}">
                  <a16:creationId xmlns:a16="http://schemas.microsoft.com/office/drawing/2014/main" id="{49E4AAD1-CFAB-EA53-CE63-02E4A3BEAB9F}"/>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15591609" y="821872"/>
              <a:ext cx="1707968" cy="2743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213360</xdr:colOff>
      <xdr:row>4</xdr:row>
      <xdr:rowOff>38100</xdr:rowOff>
    </xdr:from>
    <xdr:to>
      <xdr:col>22</xdr:col>
      <xdr:colOff>617220</xdr:colOff>
      <xdr:row>18</xdr:row>
      <xdr:rowOff>45719</xdr:rowOff>
    </xdr:to>
    <mc:AlternateContent xmlns:mc="http://schemas.openxmlformats.org/markup-compatibility/2006" xmlns:a14="http://schemas.microsoft.com/office/drawing/2010/main">
      <mc:Choice Requires="a14">
        <xdr:graphicFrame macro="">
          <xdr:nvGraphicFramePr>
            <xdr:cNvPr id="23" name="Customer Type">
              <a:extLst>
                <a:ext uri="{FF2B5EF4-FFF2-40B4-BE49-F238E27FC236}">
                  <a16:creationId xmlns:a16="http://schemas.microsoft.com/office/drawing/2014/main" id="{1B4CDD55-A131-5F86-0AAD-26B8BA060C2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711646" y="821871"/>
              <a:ext cx="1753688" cy="2750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xdr:colOff>
      <xdr:row>25</xdr:row>
      <xdr:rowOff>30480</xdr:rowOff>
    </xdr:from>
    <xdr:to>
      <xdr:col>13</xdr:col>
      <xdr:colOff>182880</xdr:colOff>
      <xdr:row>40</xdr:row>
      <xdr:rowOff>38100</xdr:rowOff>
    </xdr:to>
    <xdr:graphicFrame macro="">
      <xdr:nvGraphicFramePr>
        <xdr:cNvPr id="24" name="Chart 23">
          <a:extLst>
            <a:ext uri="{FF2B5EF4-FFF2-40B4-BE49-F238E27FC236}">
              <a16:creationId xmlns:a16="http://schemas.microsoft.com/office/drawing/2014/main" id="{94C2B750-4D60-445F-B4B7-81C92DC8A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315685</xdr:colOff>
      <xdr:row>25</xdr:row>
      <xdr:rowOff>161108</xdr:rowOff>
    </xdr:from>
    <xdr:to>
      <xdr:col>19</xdr:col>
      <xdr:colOff>376646</xdr:colOff>
      <xdr:row>39</xdr:row>
      <xdr:rowOff>185057</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DF7933AE-D794-4CEB-9D53-D14327AEA8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032965" y="5114108"/>
              <a:ext cx="4084321" cy="279762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264523</xdr:colOff>
      <xdr:row>5</xdr:row>
      <xdr:rowOff>3265</xdr:rowOff>
    </xdr:from>
    <xdr:to>
      <xdr:col>5</xdr:col>
      <xdr:colOff>653143</xdr:colOff>
      <xdr:row>21</xdr:row>
      <xdr:rowOff>185056</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763CA479-C2CE-4C86-BCB1-7141D6B5C4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4523" y="993865"/>
              <a:ext cx="3741420" cy="335171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381000</xdr:colOff>
      <xdr:row>26</xdr:row>
      <xdr:rowOff>0</xdr:rowOff>
    </xdr:from>
    <xdr:to>
      <xdr:col>2</xdr:col>
      <xdr:colOff>653142</xdr:colOff>
      <xdr:row>28</xdr:row>
      <xdr:rowOff>30480</xdr:rowOff>
    </xdr:to>
    <xdr:sp macro="" textlink="">
      <xdr:nvSpPr>
        <xdr:cNvPr id="28" name="TextBox 27">
          <a:extLst>
            <a:ext uri="{FF2B5EF4-FFF2-40B4-BE49-F238E27FC236}">
              <a16:creationId xmlns:a16="http://schemas.microsoft.com/office/drawing/2014/main" id="{BA0545BE-E23E-4EF1-BEAB-3315921B80AC}"/>
            </a:ext>
          </a:extLst>
        </xdr:cNvPr>
        <xdr:cNvSpPr txBox="1"/>
      </xdr:nvSpPr>
      <xdr:spPr>
        <a:xfrm>
          <a:off x="381000" y="5094514"/>
          <a:ext cx="1621971"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Profit Margin</a:t>
          </a:r>
          <a:endParaRPr lang="en-GB" sz="1000">
            <a:solidFill>
              <a:schemeClr val="bg1"/>
            </a:solidFill>
          </a:endParaRPr>
        </a:p>
      </xdr:txBody>
    </xdr:sp>
    <xdr:clientData/>
  </xdr:twoCellAnchor>
  <xdr:twoCellAnchor>
    <xdr:from>
      <xdr:col>3</xdr:col>
      <xdr:colOff>337457</xdr:colOff>
      <xdr:row>25</xdr:row>
      <xdr:rowOff>185059</xdr:rowOff>
    </xdr:from>
    <xdr:to>
      <xdr:col>6</xdr:col>
      <xdr:colOff>76200</xdr:colOff>
      <xdr:row>27</xdr:row>
      <xdr:rowOff>163287</xdr:rowOff>
    </xdr:to>
    <xdr:sp macro="" textlink="">
      <xdr:nvSpPr>
        <xdr:cNvPr id="29" name="TextBox 28">
          <a:extLst>
            <a:ext uri="{FF2B5EF4-FFF2-40B4-BE49-F238E27FC236}">
              <a16:creationId xmlns:a16="http://schemas.microsoft.com/office/drawing/2014/main" id="{3D9799AB-0DA3-4184-AE0A-3DB19374BF15}"/>
            </a:ext>
          </a:extLst>
        </xdr:cNvPr>
        <xdr:cNvSpPr txBox="1"/>
      </xdr:nvSpPr>
      <xdr:spPr>
        <a:xfrm>
          <a:off x="2362200" y="5083630"/>
          <a:ext cx="1763486"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EBITDA Margin</a:t>
          </a:r>
          <a:endParaRPr lang="en-GB" sz="1000">
            <a:solidFill>
              <a:schemeClr val="bg1"/>
            </a:solidFill>
          </a:endParaRPr>
        </a:p>
      </xdr:txBody>
    </xdr:sp>
    <xdr:clientData/>
  </xdr:twoCellAnchor>
  <xdr:twoCellAnchor>
    <xdr:from>
      <xdr:col>0</xdr:col>
      <xdr:colOff>191589</xdr:colOff>
      <xdr:row>28</xdr:row>
      <xdr:rowOff>10886</xdr:rowOff>
    </xdr:from>
    <xdr:to>
      <xdr:col>3</xdr:col>
      <xdr:colOff>108857</xdr:colOff>
      <xdr:row>40</xdr:row>
      <xdr:rowOff>43543</xdr:rowOff>
    </xdr:to>
    <xdr:graphicFrame macro="">
      <xdr:nvGraphicFramePr>
        <xdr:cNvPr id="30" name="Chart 29">
          <a:extLst>
            <a:ext uri="{FF2B5EF4-FFF2-40B4-BE49-F238E27FC236}">
              <a16:creationId xmlns:a16="http://schemas.microsoft.com/office/drawing/2014/main" id="{5AE77E8E-F19B-4754-9589-AF632982E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202474</xdr:colOff>
      <xdr:row>28</xdr:row>
      <xdr:rowOff>21771</xdr:rowOff>
    </xdr:from>
    <xdr:to>
      <xdr:col>6</xdr:col>
      <xdr:colOff>87085</xdr:colOff>
      <xdr:row>40</xdr:row>
      <xdr:rowOff>65315</xdr:rowOff>
    </xdr:to>
    <xdr:graphicFrame macro="">
      <xdr:nvGraphicFramePr>
        <xdr:cNvPr id="33" name="Chart 32">
          <a:extLst>
            <a:ext uri="{FF2B5EF4-FFF2-40B4-BE49-F238E27FC236}">
              <a16:creationId xmlns:a16="http://schemas.microsoft.com/office/drawing/2014/main" id="{E1237D41-5032-4431-87F9-6950D5793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195943</xdr:colOff>
      <xdr:row>33</xdr:row>
      <xdr:rowOff>21771</xdr:rowOff>
    </xdr:from>
    <xdr:to>
      <xdr:col>2</xdr:col>
      <xdr:colOff>587828</xdr:colOff>
      <xdr:row>34</xdr:row>
      <xdr:rowOff>174172</xdr:rowOff>
    </xdr:to>
    <xdr:sp macro="" textlink="'Input Data'!J76">
      <xdr:nvSpPr>
        <xdr:cNvPr id="34" name="TextBox 33">
          <a:extLst>
            <a:ext uri="{FF2B5EF4-FFF2-40B4-BE49-F238E27FC236}">
              <a16:creationId xmlns:a16="http://schemas.microsoft.com/office/drawing/2014/main" id="{2689FBE3-A994-4D18-9749-BFD73F54EE00}"/>
            </a:ext>
          </a:extLst>
        </xdr:cNvPr>
        <xdr:cNvSpPr txBox="1"/>
      </xdr:nvSpPr>
      <xdr:spPr>
        <a:xfrm>
          <a:off x="870857" y="6487885"/>
          <a:ext cx="1066800" cy="34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B943EF-970E-4BB0-993B-A28C162E8183}" type="TxLink">
            <a:rPr lang="en-US" sz="2000" b="0" i="0" u="none" strike="noStrike">
              <a:solidFill>
                <a:schemeClr val="bg1"/>
              </a:solidFill>
              <a:latin typeface="Aptos Narrow"/>
            </a:rPr>
            <a:pPr/>
            <a:t>42%</a:t>
          </a:fld>
          <a:endParaRPr lang="en-GB" sz="1400">
            <a:solidFill>
              <a:schemeClr val="bg1"/>
            </a:solidFill>
          </a:endParaRPr>
        </a:p>
      </xdr:txBody>
    </xdr:sp>
    <xdr:clientData/>
  </xdr:twoCellAnchor>
  <xdr:twoCellAnchor>
    <xdr:from>
      <xdr:col>4</xdr:col>
      <xdr:colOff>185057</xdr:colOff>
      <xdr:row>33</xdr:row>
      <xdr:rowOff>43543</xdr:rowOff>
    </xdr:from>
    <xdr:to>
      <xdr:col>5</xdr:col>
      <xdr:colOff>576943</xdr:colOff>
      <xdr:row>35</xdr:row>
      <xdr:rowOff>1</xdr:rowOff>
    </xdr:to>
    <xdr:sp macro="" textlink="'Input Data'!M76">
      <xdr:nvSpPr>
        <xdr:cNvPr id="35" name="TextBox 34">
          <a:extLst>
            <a:ext uri="{FF2B5EF4-FFF2-40B4-BE49-F238E27FC236}">
              <a16:creationId xmlns:a16="http://schemas.microsoft.com/office/drawing/2014/main" id="{4DC2090C-FFB1-4A26-8800-B44A47D99680}"/>
            </a:ext>
          </a:extLst>
        </xdr:cNvPr>
        <xdr:cNvSpPr txBox="1"/>
      </xdr:nvSpPr>
      <xdr:spPr>
        <a:xfrm>
          <a:off x="2884714" y="6509657"/>
          <a:ext cx="1066800" cy="34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3E777-D0FB-4A4D-83B9-BA024A61C544}" type="TxLink">
            <a:rPr lang="en-US" sz="2000" b="0" i="0" u="none" strike="noStrike">
              <a:solidFill>
                <a:schemeClr val="bg1"/>
              </a:solidFill>
              <a:latin typeface="Aptos Narrow"/>
            </a:rPr>
            <a:pPr/>
            <a:t>16%</a:t>
          </a:fld>
          <a:endParaRPr lang="en-GB" sz="1000">
            <a:solidFill>
              <a:schemeClr val="bg1"/>
            </a:solidFill>
          </a:endParaRPr>
        </a:p>
      </xdr:txBody>
    </xdr:sp>
    <xdr:clientData/>
  </xdr:twoCellAnchor>
  <xdr:twoCellAnchor editAs="oneCell">
    <xdr:from>
      <xdr:col>20</xdr:col>
      <xdr:colOff>261257</xdr:colOff>
      <xdr:row>18</xdr:row>
      <xdr:rowOff>183969</xdr:rowOff>
    </xdr:from>
    <xdr:to>
      <xdr:col>25</xdr:col>
      <xdr:colOff>435428</xdr:colOff>
      <xdr:row>29</xdr:row>
      <xdr:rowOff>54428</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E6C9929A-FD8E-2128-50F6-A5C4B78F13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59543" y="3710940"/>
              <a:ext cx="3548742" cy="20258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sain sarfraz" refreshedDate="46272.884562384257" createdVersion="8" refreshedVersion="8" minRefreshableVersion="3" recordCount="240" xr:uid="{39545F3E-9F80-4F6A-BC86-0449AB0E836C}">
  <cacheSource type="worksheet">
    <worksheetSource name="Table1"/>
  </cacheSource>
  <cacheFields count="10">
    <cacheField name="Country" numFmtId="0">
      <sharedItems count="2">
        <s v="USA"/>
        <s v="Canada"/>
      </sharedItems>
    </cacheField>
    <cacheField name="Year" numFmtId="0">
      <sharedItems containsSemiMixedTypes="0" containsString="0" containsNumber="1" containsInteger="1" minValue="2018" maxValue="2027" count="10">
        <n v="2018"/>
        <n v="2019"/>
        <n v="2020"/>
        <n v="2021"/>
        <n v="2022"/>
        <n v="2023"/>
        <n v="2024"/>
        <n v="2025"/>
        <n v="2026"/>
        <n v="2027"/>
      </sharedItems>
    </cacheField>
    <cacheField name="Service" numFmtId="0">
      <sharedItems count="3">
        <s v="Artificial Intelligence"/>
        <s v="Marketing"/>
        <s v="Accounting"/>
      </sharedItems>
    </cacheField>
    <cacheField name="Customer Type" numFmtId="0">
      <sharedItems count="2">
        <s v="SMB"/>
        <s v="Enterprise"/>
      </sharedItems>
    </cacheField>
    <cacheField name="Revenue" numFmtId="0">
      <sharedItems containsSemiMixedTypes="0" containsString="0" containsNumber="1" containsInteger="1" minValue="455" maxValue="140652"/>
    </cacheField>
    <cacheField name="Gross Profit" numFmtId="0">
      <sharedItems containsSemiMixedTypes="0" containsString="0" containsNumber="1" minValue="227.5" maxValue="78372.000000000015"/>
    </cacheField>
    <cacheField name="EBITDA" numFmtId="0">
      <sharedItems containsSemiMixedTypes="0" containsString="0" containsNumber="1" minValue="68.400000000000006" maxValue="28130.400000000001"/>
    </cacheField>
    <cacheField name="Difference" numFmtId="0" formula="Revenue-EBITDA" databaseField="0"/>
    <cacheField name="Difference EBITDA" numFmtId="0" formula="Revenue-EBITDA" databaseField="0"/>
    <cacheField name="diff" numFmtId="0" formula="Revenue-'Gross Profit'" databaseField="0"/>
  </cacheFields>
  <extLst>
    <ext xmlns:x14="http://schemas.microsoft.com/office/spreadsheetml/2009/9/main" uri="{725AE2AE-9491-48be-B2B4-4EB974FC3084}">
      <x14:pivotCacheDefinition pivotCacheId="443569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1"/>
    <n v="16090"/>
    <n v="12872"/>
    <n v="3218"/>
  </r>
  <r>
    <x v="0"/>
    <x v="2"/>
    <x v="1"/>
    <x v="0"/>
    <n v="9620"/>
    <n v="4810"/>
    <n v="962"/>
  </r>
  <r>
    <x v="0"/>
    <x v="2"/>
    <x v="1"/>
    <x v="1"/>
    <n v="16090"/>
    <n v="8045"/>
    <n v="1609"/>
  </r>
  <r>
    <x v="0"/>
    <x v="2"/>
    <x v="2"/>
    <x v="0"/>
    <n v="10140"/>
    <n v="8112"/>
    <n v="2028"/>
  </r>
  <r>
    <x v="0"/>
    <x v="2"/>
    <x v="2"/>
    <x v="1"/>
    <n v="55827"/>
    <n v="44661.600000000006"/>
    <n v="11165.400000000001"/>
  </r>
  <r>
    <x v="0"/>
    <x v="3"/>
    <x v="0"/>
    <x v="0"/>
    <n v="7470"/>
    <n v="4482.0000000000009"/>
    <n v="1494"/>
  </r>
  <r>
    <x v="0"/>
    <x v="3"/>
    <x v="0"/>
    <x v="1"/>
    <n v="15225"/>
    <n v="9135.0000000000018"/>
    <n v="3045"/>
  </r>
  <r>
    <x v="0"/>
    <x v="3"/>
    <x v="1"/>
    <x v="0"/>
    <n v="29880"/>
    <n v="20916.000000000004"/>
    <n v="2988"/>
  </r>
  <r>
    <x v="0"/>
    <x v="3"/>
    <x v="1"/>
    <x v="1"/>
    <n v="91350"/>
    <n v="63945.000000000007"/>
    <n v="9135"/>
  </r>
  <r>
    <x v="0"/>
    <x v="3"/>
    <x v="2"/>
    <x v="0"/>
    <n v="3252"/>
    <n v="2601.6000000000004"/>
    <n v="650.40000000000009"/>
  </r>
  <r>
    <x v="0"/>
    <x v="3"/>
    <x v="2"/>
    <x v="1"/>
    <n v="6756"/>
    <n v="5404.8"/>
    <n v="1351.2"/>
  </r>
  <r>
    <x v="0"/>
    <x v="4"/>
    <x v="0"/>
    <x v="0"/>
    <n v="11367"/>
    <n v="7956.9000000000005"/>
    <n v="1136.7"/>
  </r>
  <r>
    <x v="0"/>
    <x v="4"/>
    <x v="0"/>
    <x v="1"/>
    <n v="14484"/>
    <n v="10138.800000000001"/>
    <n v="1448.4"/>
  </r>
  <r>
    <x v="0"/>
    <x v="4"/>
    <x v="1"/>
    <x v="0"/>
    <n v="22734"/>
    <n v="11367"/>
    <n v="2273.4"/>
  </r>
  <r>
    <x v="0"/>
    <x v="4"/>
    <x v="1"/>
    <x v="1"/>
    <n v="86904"/>
    <n v="43452"/>
    <n v="8690.4"/>
  </r>
  <r>
    <x v="0"/>
    <x v="4"/>
    <x v="2"/>
    <x v="0"/>
    <n v="3515"/>
    <n v="2812"/>
    <n v="351.5"/>
  </r>
  <r>
    <x v="0"/>
    <x v="4"/>
    <x v="2"/>
    <x v="1"/>
    <n v="18760"/>
    <n v="15008"/>
    <n v="1876"/>
  </r>
  <r>
    <x v="0"/>
    <x v="5"/>
    <x v="0"/>
    <x v="0"/>
    <n v="6894"/>
    <n v="4825.8"/>
    <n v="1378.8000000000002"/>
  </r>
  <r>
    <x v="0"/>
    <x v="5"/>
    <x v="0"/>
    <x v="1"/>
    <n v="18660"/>
    <n v="13062.000000000002"/>
    <n v="3732"/>
  </r>
  <r>
    <x v="0"/>
    <x v="5"/>
    <x v="1"/>
    <x v="0"/>
    <n v="13788"/>
    <n v="9651.6"/>
    <n v="2757.6000000000004"/>
  </r>
  <r>
    <x v="0"/>
    <x v="5"/>
    <x v="1"/>
    <x v="1"/>
    <n v="111960"/>
    <n v="78372.000000000015"/>
    <n v="22392"/>
  </r>
  <r>
    <x v="0"/>
    <x v="5"/>
    <x v="2"/>
    <x v="0"/>
    <n v="5064"/>
    <n v="4051.2000000000003"/>
    <n v="506.40000000000003"/>
  </r>
  <r>
    <x v="0"/>
    <x v="5"/>
    <x v="2"/>
    <x v="1"/>
    <n v="15933"/>
    <n v="12746.400000000001"/>
    <n v="1593.3000000000002"/>
  </r>
  <r>
    <x v="0"/>
    <x v="6"/>
    <x v="0"/>
    <x v="0"/>
    <n v="8880"/>
    <n v="4440"/>
    <n v="1776"/>
  </r>
  <r>
    <x v="0"/>
    <x v="6"/>
    <x v="0"/>
    <x v="1"/>
    <n v="13958"/>
    <n v="6979"/>
    <n v="2791.6000000000004"/>
  </r>
  <r>
    <x v="0"/>
    <x v="6"/>
    <x v="1"/>
    <x v="0"/>
    <n v="53280"/>
    <n v="26640"/>
    <n v="5328"/>
  </r>
  <r>
    <x v="0"/>
    <x v="6"/>
    <x v="1"/>
    <x v="1"/>
    <n v="41874"/>
    <n v="20937"/>
    <n v="4187.4000000000005"/>
  </r>
  <r>
    <x v="0"/>
    <x v="6"/>
    <x v="2"/>
    <x v="0"/>
    <n v="9666"/>
    <n v="6766.2000000000007"/>
    <n v="966.6"/>
  </r>
  <r>
    <x v="0"/>
    <x v="6"/>
    <x v="2"/>
    <x v="1"/>
    <n v="6528"/>
    <n v="4569.6000000000004"/>
    <n v="652.80000000000007"/>
  </r>
  <r>
    <x v="0"/>
    <x v="7"/>
    <x v="0"/>
    <x v="0"/>
    <n v="4901"/>
    <n v="2940.6000000000004"/>
    <n v="490.1"/>
  </r>
  <r>
    <x v="0"/>
    <x v="7"/>
    <x v="0"/>
    <x v="1"/>
    <n v="26427"/>
    <n v="15856.200000000003"/>
    <n v="2642.7000000000003"/>
  </r>
  <r>
    <x v="0"/>
    <x v="7"/>
    <x v="1"/>
    <x v="0"/>
    <n v="14703"/>
    <n v="10292.1"/>
    <n v="2940.6000000000004"/>
  </r>
  <r>
    <x v="0"/>
    <x v="7"/>
    <x v="1"/>
    <x v="1"/>
    <n v="52854"/>
    <n v="36997.800000000003"/>
    <n v="10570.800000000001"/>
  </r>
  <r>
    <x v="0"/>
    <x v="7"/>
    <x v="2"/>
    <x v="0"/>
    <n v="1365"/>
    <n v="682.5"/>
    <n v="273"/>
  </r>
  <r>
    <x v="0"/>
    <x v="7"/>
    <x v="2"/>
    <x v="1"/>
    <n v="68814"/>
    <n v="34407"/>
    <n v="13762.800000000001"/>
  </r>
  <r>
    <x v="0"/>
    <x v="8"/>
    <x v="0"/>
    <x v="0"/>
    <n v="3828"/>
    <n v="1914"/>
    <n v="765.6"/>
  </r>
  <r>
    <x v="0"/>
    <x v="8"/>
    <x v="0"/>
    <x v="1"/>
    <n v="24219"/>
    <n v="12109.5"/>
    <n v="4843.8"/>
  </r>
  <r>
    <x v="0"/>
    <x v="8"/>
    <x v="1"/>
    <x v="0"/>
    <n v="3828"/>
    <n v="2296.8000000000002"/>
    <n v="765.6"/>
  </r>
  <r>
    <x v="0"/>
    <x v="8"/>
    <x v="1"/>
    <x v="1"/>
    <n v="96876"/>
    <n v="58125.600000000006"/>
    <n v="19375.2"/>
  </r>
  <r>
    <x v="0"/>
    <x v="8"/>
    <x v="2"/>
    <x v="0"/>
    <n v="3022"/>
    <n v="1511"/>
    <n v="604.4"/>
  </r>
  <r>
    <x v="0"/>
    <x v="8"/>
    <x v="2"/>
    <x v="1"/>
    <n v="32694"/>
    <n v="16347"/>
    <n v="6538.8"/>
  </r>
  <r>
    <x v="0"/>
    <x v="9"/>
    <x v="0"/>
    <x v="0"/>
    <n v="5424"/>
    <n v="2712"/>
    <n v="542.4"/>
  </r>
  <r>
    <x v="0"/>
    <x v="9"/>
    <x v="0"/>
    <x v="1"/>
    <n v="23442"/>
    <n v="11721"/>
    <n v="2344.2000000000003"/>
  </r>
  <r>
    <x v="0"/>
    <x v="9"/>
    <x v="1"/>
    <x v="0"/>
    <n v="5424"/>
    <n v="2712"/>
    <n v="1084.8"/>
  </r>
  <r>
    <x v="0"/>
    <x v="9"/>
    <x v="1"/>
    <x v="1"/>
    <n v="140652"/>
    <n v="70326"/>
    <n v="28130.400000000001"/>
  </r>
  <r>
    <x v="0"/>
    <x v="9"/>
    <x v="2"/>
    <x v="0"/>
    <n v="15468"/>
    <n v="9280.8000000000011"/>
    <n v="3093.6000000000004"/>
  </r>
  <r>
    <x v="0"/>
    <x v="9"/>
    <x v="2"/>
    <x v="1"/>
    <n v="9172"/>
    <n v="5503.2000000000007"/>
    <n v="1834.4"/>
  </r>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0"/>
    <n v="4810"/>
    <n v="3848"/>
    <n v="962"/>
  </r>
  <r>
    <x v="0"/>
    <x v="2"/>
    <x v="1"/>
    <x v="1"/>
    <n v="16090"/>
    <n v="8045"/>
    <n v="1609"/>
  </r>
  <r>
    <x v="0"/>
    <x v="2"/>
    <x v="1"/>
    <x v="0"/>
    <n v="9620"/>
    <n v="4810"/>
    <n v="962"/>
  </r>
  <r>
    <x v="0"/>
    <x v="2"/>
    <x v="2"/>
    <x v="1"/>
    <n v="55827"/>
    <n v="44661.600000000006"/>
    <n v="11165.400000000001"/>
  </r>
  <r>
    <x v="0"/>
    <x v="2"/>
    <x v="2"/>
    <x v="0"/>
    <n v="10140"/>
    <n v="8112"/>
    <n v="2028"/>
  </r>
  <r>
    <x v="0"/>
    <x v="3"/>
    <x v="0"/>
    <x v="1"/>
    <n v="15225"/>
    <n v="9135.0000000000018"/>
    <n v="3045"/>
  </r>
  <r>
    <x v="0"/>
    <x v="3"/>
    <x v="0"/>
    <x v="0"/>
    <n v="7470"/>
    <n v="4482.0000000000009"/>
    <n v="1494"/>
  </r>
  <r>
    <x v="0"/>
    <x v="3"/>
    <x v="1"/>
    <x v="1"/>
    <n v="91350"/>
    <n v="63945.000000000007"/>
    <n v="9135"/>
  </r>
  <r>
    <x v="0"/>
    <x v="3"/>
    <x v="1"/>
    <x v="0"/>
    <n v="29880"/>
    <n v="20916.000000000004"/>
    <n v="2988"/>
  </r>
  <r>
    <x v="0"/>
    <x v="3"/>
    <x v="2"/>
    <x v="1"/>
    <n v="6756"/>
    <n v="5404.8"/>
    <n v="1351.2"/>
  </r>
  <r>
    <x v="0"/>
    <x v="3"/>
    <x v="2"/>
    <x v="0"/>
    <n v="3252"/>
    <n v="2601.6000000000004"/>
    <n v="650.40000000000009"/>
  </r>
  <r>
    <x v="0"/>
    <x v="4"/>
    <x v="0"/>
    <x v="1"/>
    <n v="14484"/>
    <n v="10138.800000000001"/>
    <n v="1448.4"/>
  </r>
  <r>
    <x v="0"/>
    <x v="4"/>
    <x v="0"/>
    <x v="0"/>
    <n v="11367"/>
    <n v="7956.9000000000005"/>
    <n v="1136.7"/>
  </r>
  <r>
    <x v="0"/>
    <x v="4"/>
    <x v="1"/>
    <x v="1"/>
    <n v="86904"/>
    <n v="43452"/>
    <n v="8690.4"/>
  </r>
  <r>
    <x v="0"/>
    <x v="4"/>
    <x v="1"/>
    <x v="0"/>
    <n v="22734"/>
    <n v="11367"/>
    <n v="2273.4"/>
  </r>
  <r>
    <x v="0"/>
    <x v="4"/>
    <x v="2"/>
    <x v="1"/>
    <n v="18760"/>
    <n v="15008"/>
    <n v="1876"/>
  </r>
  <r>
    <x v="0"/>
    <x v="4"/>
    <x v="2"/>
    <x v="0"/>
    <n v="3515"/>
    <n v="2812"/>
    <n v="351.5"/>
  </r>
  <r>
    <x v="0"/>
    <x v="5"/>
    <x v="0"/>
    <x v="1"/>
    <n v="18660"/>
    <n v="13062.000000000002"/>
    <n v="3732"/>
  </r>
  <r>
    <x v="0"/>
    <x v="5"/>
    <x v="0"/>
    <x v="0"/>
    <n v="6894"/>
    <n v="4825.8"/>
    <n v="1378.8000000000002"/>
  </r>
  <r>
    <x v="0"/>
    <x v="5"/>
    <x v="1"/>
    <x v="1"/>
    <n v="111960"/>
    <n v="78372.000000000015"/>
    <n v="22392"/>
  </r>
  <r>
    <x v="0"/>
    <x v="5"/>
    <x v="1"/>
    <x v="0"/>
    <n v="13788"/>
    <n v="9651.6"/>
    <n v="2757.6000000000004"/>
  </r>
  <r>
    <x v="0"/>
    <x v="5"/>
    <x v="2"/>
    <x v="1"/>
    <n v="15933"/>
    <n v="12746.400000000001"/>
    <n v="1593.3000000000002"/>
  </r>
  <r>
    <x v="0"/>
    <x v="5"/>
    <x v="2"/>
    <x v="0"/>
    <n v="5064"/>
    <n v="4051.2000000000003"/>
    <n v="506.40000000000003"/>
  </r>
  <r>
    <x v="0"/>
    <x v="6"/>
    <x v="0"/>
    <x v="1"/>
    <n v="13958"/>
    <n v="6979"/>
    <n v="2791.6000000000004"/>
  </r>
  <r>
    <x v="0"/>
    <x v="6"/>
    <x v="0"/>
    <x v="0"/>
    <n v="8880"/>
    <n v="4440"/>
    <n v="1776"/>
  </r>
  <r>
    <x v="0"/>
    <x v="6"/>
    <x v="1"/>
    <x v="1"/>
    <n v="41874"/>
    <n v="20937"/>
    <n v="4187.4000000000005"/>
  </r>
  <r>
    <x v="0"/>
    <x v="6"/>
    <x v="1"/>
    <x v="0"/>
    <n v="53280"/>
    <n v="26640"/>
    <n v="5328"/>
  </r>
  <r>
    <x v="0"/>
    <x v="6"/>
    <x v="2"/>
    <x v="1"/>
    <n v="6528"/>
    <n v="4569.6000000000004"/>
    <n v="652.80000000000007"/>
  </r>
  <r>
    <x v="0"/>
    <x v="6"/>
    <x v="2"/>
    <x v="0"/>
    <n v="9666"/>
    <n v="6766.2000000000007"/>
    <n v="966.6"/>
  </r>
  <r>
    <x v="0"/>
    <x v="7"/>
    <x v="0"/>
    <x v="1"/>
    <n v="26427"/>
    <n v="15856.200000000003"/>
    <n v="2642.7000000000003"/>
  </r>
  <r>
    <x v="0"/>
    <x v="7"/>
    <x v="0"/>
    <x v="0"/>
    <n v="4901"/>
    <n v="2940.6000000000004"/>
    <n v="490.1"/>
  </r>
  <r>
    <x v="0"/>
    <x v="7"/>
    <x v="1"/>
    <x v="1"/>
    <n v="52854"/>
    <n v="36997.800000000003"/>
    <n v="10570.800000000001"/>
  </r>
  <r>
    <x v="0"/>
    <x v="7"/>
    <x v="1"/>
    <x v="0"/>
    <n v="14703"/>
    <n v="10292.1"/>
    <n v="2940.6000000000004"/>
  </r>
  <r>
    <x v="0"/>
    <x v="7"/>
    <x v="2"/>
    <x v="1"/>
    <n v="68814"/>
    <n v="34407"/>
    <n v="13762.800000000001"/>
  </r>
  <r>
    <x v="0"/>
    <x v="7"/>
    <x v="2"/>
    <x v="0"/>
    <n v="1365"/>
    <n v="682.5"/>
    <n v="273"/>
  </r>
  <r>
    <x v="0"/>
    <x v="8"/>
    <x v="0"/>
    <x v="1"/>
    <n v="24219"/>
    <n v="12109.5"/>
    <n v="4843.8"/>
  </r>
  <r>
    <x v="0"/>
    <x v="8"/>
    <x v="0"/>
    <x v="0"/>
    <n v="3828"/>
    <n v="1914"/>
    <n v="765.6"/>
  </r>
  <r>
    <x v="0"/>
    <x v="8"/>
    <x v="1"/>
    <x v="1"/>
    <n v="96876"/>
    <n v="58125.600000000006"/>
    <n v="19375.2"/>
  </r>
  <r>
    <x v="0"/>
    <x v="8"/>
    <x v="1"/>
    <x v="0"/>
    <n v="3828"/>
    <n v="2296.8000000000002"/>
    <n v="765.6"/>
  </r>
  <r>
    <x v="0"/>
    <x v="8"/>
    <x v="2"/>
    <x v="1"/>
    <n v="32694"/>
    <n v="16347"/>
    <n v="6538.8"/>
  </r>
  <r>
    <x v="0"/>
    <x v="8"/>
    <x v="2"/>
    <x v="0"/>
    <n v="3022"/>
    <n v="1511"/>
    <n v="604.4"/>
  </r>
  <r>
    <x v="0"/>
    <x v="9"/>
    <x v="0"/>
    <x v="1"/>
    <n v="23442"/>
    <n v="11721"/>
    <n v="2344.2000000000003"/>
  </r>
  <r>
    <x v="0"/>
    <x v="9"/>
    <x v="0"/>
    <x v="0"/>
    <n v="5424"/>
    <n v="2712"/>
    <n v="542.4"/>
  </r>
  <r>
    <x v="0"/>
    <x v="9"/>
    <x v="1"/>
    <x v="1"/>
    <n v="140652"/>
    <n v="70326"/>
    <n v="28130.400000000001"/>
  </r>
  <r>
    <x v="0"/>
    <x v="9"/>
    <x v="1"/>
    <x v="0"/>
    <n v="5424"/>
    <n v="2712"/>
    <n v="1084.8"/>
  </r>
  <r>
    <x v="0"/>
    <x v="9"/>
    <x v="2"/>
    <x v="1"/>
    <n v="9172"/>
    <n v="5503.2000000000007"/>
    <n v="1834.4"/>
  </r>
  <r>
    <x v="0"/>
    <x v="9"/>
    <x v="2"/>
    <x v="0"/>
    <n v="15468"/>
    <n v="9280.8000000000011"/>
    <n v="3093.6000000000004"/>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1"/>
    <n v="8045"/>
    <n v="5631.5000000000009"/>
    <n v="1609"/>
  </r>
  <r>
    <x v="1"/>
    <x v="2"/>
    <x v="1"/>
    <x v="0"/>
    <n v="1625"/>
    <n v="975.00000000000011"/>
    <n v="162.5"/>
  </r>
  <r>
    <x v="1"/>
    <x v="2"/>
    <x v="1"/>
    <x v="1"/>
    <n v="2912"/>
    <n v="1747.2000000000003"/>
    <n v="291.2"/>
  </r>
  <r>
    <x v="1"/>
    <x v="2"/>
    <x v="2"/>
    <x v="0"/>
    <n v="1690"/>
    <n v="1183"/>
    <n v="338"/>
  </r>
  <r>
    <x v="1"/>
    <x v="2"/>
    <x v="2"/>
    <x v="1"/>
    <n v="6203"/>
    <n v="4342.1000000000004"/>
    <n v="1240.6000000000001"/>
  </r>
  <r>
    <x v="1"/>
    <x v="3"/>
    <x v="0"/>
    <x v="0"/>
    <n v="2490"/>
    <n v="1494.0000000000002"/>
    <n v="498"/>
  </r>
  <r>
    <x v="1"/>
    <x v="3"/>
    <x v="0"/>
    <x v="1"/>
    <n v="5075"/>
    <n v="3045.0000000000005"/>
    <n v="1015"/>
  </r>
  <r>
    <x v="1"/>
    <x v="3"/>
    <x v="1"/>
    <x v="0"/>
    <n v="1710"/>
    <n v="855"/>
    <n v="342"/>
  </r>
  <r>
    <x v="1"/>
    <x v="3"/>
    <x v="1"/>
    <x v="1"/>
    <n v="4586"/>
    <n v="2293"/>
    <n v="917.2"/>
  </r>
  <r>
    <x v="1"/>
    <x v="3"/>
    <x v="2"/>
    <x v="0"/>
    <n v="1626"/>
    <n v="1300.8000000000002"/>
    <n v="325.20000000000005"/>
  </r>
  <r>
    <x v="1"/>
    <x v="3"/>
    <x v="2"/>
    <x v="1"/>
    <n v="1126"/>
    <n v="900.80000000000007"/>
    <n v="225.20000000000002"/>
  </r>
  <r>
    <x v="1"/>
    <x v="4"/>
    <x v="0"/>
    <x v="0"/>
    <n v="3789"/>
    <n v="2652.3"/>
    <n v="757.80000000000007"/>
  </r>
  <r>
    <x v="1"/>
    <x v="4"/>
    <x v="0"/>
    <x v="1"/>
    <n v="7242"/>
    <n v="5069.4000000000005"/>
    <n v="1448.4"/>
  </r>
  <r>
    <x v="1"/>
    <x v="4"/>
    <x v="1"/>
    <x v="0"/>
    <n v="1738"/>
    <n v="869"/>
    <n v="347.6"/>
  </r>
  <r>
    <x v="1"/>
    <x v="4"/>
    <x v="1"/>
    <x v="1"/>
    <n v="2666"/>
    <n v="1333"/>
    <n v="533.20000000000005"/>
  </r>
  <r>
    <x v="1"/>
    <x v="4"/>
    <x v="2"/>
    <x v="0"/>
    <n v="3515"/>
    <n v="1757.5"/>
    <n v="351.5"/>
  </r>
  <r>
    <x v="1"/>
    <x v="4"/>
    <x v="2"/>
    <x v="1"/>
    <n v="4690"/>
    <n v="2345"/>
    <n v="469"/>
  </r>
  <r>
    <x v="1"/>
    <x v="5"/>
    <x v="0"/>
    <x v="0"/>
    <n v="2298"/>
    <n v="1608.6000000000001"/>
    <n v="459.6"/>
  </r>
  <r>
    <x v="1"/>
    <x v="5"/>
    <x v="0"/>
    <x v="1"/>
    <n v="9330"/>
    <n v="6531.0000000000009"/>
    <n v="1866"/>
  </r>
  <r>
    <x v="1"/>
    <x v="5"/>
    <x v="1"/>
    <x v="0"/>
    <n v="2471"/>
    <n v="1729.7000000000003"/>
    <n v="494.20000000000005"/>
  </r>
  <r>
    <x v="1"/>
    <x v="5"/>
    <x v="1"/>
    <x v="1"/>
    <n v="4027"/>
    <n v="2818.9"/>
    <n v="805.40000000000009"/>
  </r>
  <r>
    <x v="1"/>
    <x v="5"/>
    <x v="2"/>
    <x v="0"/>
    <n v="2532"/>
    <n v="2025.6000000000001"/>
    <n v="253.20000000000002"/>
  </r>
  <r>
    <x v="1"/>
    <x v="5"/>
    <x v="2"/>
    <x v="1"/>
    <n v="5311"/>
    <n v="4248.8"/>
    <n v="531.1"/>
  </r>
  <r>
    <x v="1"/>
    <x v="6"/>
    <x v="0"/>
    <x v="0"/>
    <n v="4440"/>
    <n v="3108.0000000000005"/>
    <n v="444"/>
  </r>
  <r>
    <x v="1"/>
    <x v="6"/>
    <x v="0"/>
    <x v="1"/>
    <n v="6979"/>
    <n v="4885.3"/>
    <n v="697.90000000000009"/>
  </r>
  <r>
    <x v="1"/>
    <x v="6"/>
    <x v="1"/>
    <x v="0"/>
    <n v="1689"/>
    <n v="844.5"/>
    <n v="337.8"/>
  </r>
  <r>
    <x v="1"/>
    <x v="6"/>
    <x v="1"/>
    <x v="1"/>
    <n v="2778"/>
    <n v="1389"/>
    <n v="555.6"/>
  </r>
  <r>
    <x v="1"/>
    <x v="6"/>
    <x v="2"/>
    <x v="0"/>
    <n v="1611"/>
    <n v="805.5"/>
    <n v="161.10000000000002"/>
  </r>
  <r>
    <x v="1"/>
    <x v="6"/>
    <x v="2"/>
    <x v="1"/>
    <n v="6528"/>
    <n v="3264"/>
    <n v="652.80000000000007"/>
  </r>
  <r>
    <x v="1"/>
    <x v="7"/>
    <x v="0"/>
    <x v="0"/>
    <n v="4901"/>
    <n v="2450.5"/>
    <n v="490.1"/>
  </r>
  <r>
    <x v="1"/>
    <x v="7"/>
    <x v="0"/>
    <x v="1"/>
    <n v="8809"/>
    <n v="4404.5"/>
    <n v="880.90000000000009"/>
  </r>
  <r>
    <x v="1"/>
    <x v="7"/>
    <x v="1"/>
    <x v="0"/>
    <n v="2300"/>
    <n v="1150"/>
    <n v="460"/>
  </r>
  <r>
    <x v="1"/>
    <x v="7"/>
    <x v="1"/>
    <x v="1"/>
    <n v="5369"/>
    <n v="2684.5"/>
    <n v="1073.8"/>
  </r>
  <r>
    <x v="1"/>
    <x v="7"/>
    <x v="2"/>
    <x v="0"/>
    <n v="455"/>
    <n v="227.5"/>
    <n v="91"/>
  </r>
  <r>
    <x v="1"/>
    <x v="7"/>
    <x v="2"/>
    <x v="1"/>
    <n v="7646"/>
    <n v="3823"/>
    <n v="1529.2"/>
  </r>
  <r>
    <x v="1"/>
    <x v="8"/>
    <x v="0"/>
    <x v="0"/>
    <n v="3828"/>
    <n v="2296.8000000000002"/>
    <n v="765.6"/>
  </r>
  <r>
    <x v="1"/>
    <x v="8"/>
    <x v="0"/>
    <x v="1"/>
    <n v="8073"/>
    <n v="4843.8000000000011"/>
    <n v="1614.6000000000001"/>
  </r>
  <r>
    <x v="1"/>
    <x v="8"/>
    <x v="1"/>
    <x v="0"/>
    <n v="3500"/>
    <n v="2800"/>
    <n v="350"/>
  </r>
  <r>
    <x v="1"/>
    <x v="8"/>
    <x v="1"/>
    <x v="1"/>
    <n v="4109"/>
    <n v="3287.2000000000003"/>
    <n v="410.90000000000003"/>
  </r>
  <r>
    <x v="1"/>
    <x v="8"/>
    <x v="2"/>
    <x v="0"/>
    <n v="3022"/>
    <n v="2417.6"/>
    <n v="302.2"/>
  </r>
  <r>
    <x v="1"/>
    <x v="8"/>
    <x v="2"/>
    <x v="1"/>
    <n v="5449"/>
    <n v="4359.2"/>
    <n v="544.9"/>
  </r>
  <r>
    <x v="1"/>
    <x v="9"/>
    <x v="0"/>
    <x v="0"/>
    <n v="1808"/>
    <n v="904"/>
    <n v="361.6"/>
  </r>
  <r>
    <x v="1"/>
    <x v="9"/>
    <x v="0"/>
    <x v="1"/>
    <n v="7814"/>
    <n v="3907"/>
    <n v="1562.8000000000002"/>
  </r>
  <r>
    <x v="1"/>
    <x v="9"/>
    <x v="1"/>
    <x v="0"/>
    <n v="2150"/>
    <n v="1505.0000000000002"/>
    <n v="430"/>
  </r>
  <r>
    <x v="1"/>
    <x v="9"/>
    <x v="1"/>
    <x v="1"/>
    <n v="3706"/>
    <n v="2594.2000000000003"/>
    <n v="741.2"/>
  </r>
  <r>
    <x v="1"/>
    <x v="9"/>
    <x v="2"/>
    <x v="0"/>
    <n v="3867"/>
    <n v="2320.2000000000003"/>
    <n v="386.70000000000005"/>
  </r>
  <r>
    <x v="1"/>
    <x v="9"/>
    <x v="2"/>
    <x v="1"/>
    <n v="4586"/>
    <n v="2751.6000000000004"/>
    <n v="458.6"/>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0"/>
    <n v="2405"/>
    <n v="1683.5000000000002"/>
    <n v="481"/>
  </r>
  <r>
    <x v="1"/>
    <x v="2"/>
    <x v="1"/>
    <x v="1"/>
    <n v="2912"/>
    <n v="1747.2000000000003"/>
    <n v="291.2"/>
  </r>
  <r>
    <x v="1"/>
    <x v="2"/>
    <x v="1"/>
    <x v="0"/>
    <n v="1625"/>
    <n v="975.00000000000011"/>
    <n v="162.5"/>
  </r>
  <r>
    <x v="1"/>
    <x v="2"/>
    <x v="2"/>
    <x v="1"/>
    <n v="6203"/>
    <n v="4342.1000000000004"/>
    <n v="1240.6000000000001"/>
  </r>
  <r>
    <x v="1"/>
    <x v="2"/>
    <x v="2"/>
    <x v="0"/>
    <n v="1690"/>
    <n v="1183"/>
    <n v="338"/>
  </r>
  <r>
    <x v="1"/>
    <x v="3"/>
    <x v="0"/>
    <x v="1"/>
    <n v="5075"/>
    <n v="3045.0000000000005"/>
    <n v="1015"/>
  </r>
  <r>
    <x v="1"/>
    <x v="3"/>
    <x v="0"/>
    <x v="0"/>
    <n v="2490"/>
    <n v="1494.0000000000002"/>
    <n v="498"/>
  </r>
  <r>
    <x v="1"/>
    <x v="3"/>
    <x v="1"/>
    <x v="1"/>
    <n v="4586"/>
    <n v="2293"/>
    <n v="917.2"/>
  </r>
  <r>
    <x v="1"/>
    <x v="3"/>
    <x v="1"/>
    <x v="0"/>
    <n v="1710"/>
    <n v="855"/>
    <n v="342"/>
  </r>
  <r>
    <x v="1"/>
    <x v="3"/>
    <x v="2"/>
    <x v="1"/>
    <n v="1126"/>
    <n v="900.80000000000007"/>
    <n v="225.20000000000002"/>
  </r>
  <r>
    <x v="1"/>
    <x v="3"/>
    <x v="2"/>
    <x v="0"/>
    <n v="1626"/>
    <n v="1300.8000000000002"/>
    <n v="325.20000000000005"/>
  </r>
  <r>
    <x v="1"/>
    <x v="4"/>
    <x v="0"/>
    <x v="1"/>
    <n v="7242"/>
    <n v="5069.4000000000005"/>
    <n v="1448.4"/>
  </r>
  <r>
    <x v="1"/>
    <x v="4"/>
    <x v="0"/>
    <x v="0"/>
    <n v="3789"/>
    <n v="2652.3"/>
    <n v="757.80000000000007"/>
  </r>
  <r>
    <x v="1"/>
    <x v="4"/>
    <x v="1"/>
    <x v="1"/>
    <n v="2666"/>
    <n v="1333"/>
    <n v="533.20000000000005"/>
  </r>
  <r>
    <x v="1"/>
    <x v="4"/>
    <x v="1"/>
    <x v="0"/>
    <n v="1738"/>
    <n v="869"/>
    <n v="347.6"/>
  </r>
  <r>
    <x v="1"/>
    <x v="4"/>
    <x v="2"/>
    <x v="1"/>
    <n v="4690"/>
    <n v="2345"/>
    <n v="469"/>
  </r>
  <r>
    <x v="1"/>
    <x v="4"/>
    <x v="2"/>
    <x v="0"/>
    <n v="3515"/>
    <n v="1757.5"/>
    <n v="351.5"/>
  </r>
  <r>
    <x v="1"/>
    <x v="5"/>
    <x v="0"/>
    <x v="1"/>
    <n v="9330"/>
    <n v="6531.0000000000009"/>
    <n v="1866"/>
  </r>
  <r>
    <x v="1"/>
    <x v="5"/>
    <x v="0"/>
    <x v="0"/>
    <n v="2298"/>
    <n v="1608.6000000000001"/>
    <n v="459.6"/>
  </r>
  <r>
    <x v="1"/>
    <x v="5"/>
    <x v="1"/>
    <x v="1"/>
    <n v="4027"/>
    <n v="2818.9"/>
    <n v="805.40000000000009"/>
  </r>
  <r>
    <x v="1"/>
    <x v="5"/>
    <x v="1"/>
    <x v="0"/>
    <n v="2471"/>
    <n v="1729.7000000000003"/>
    <n v="494.20000000000005"/>
  </r>
  <r>
    <x v="1"/>
    <x v="5"/>
    <x v="2"/>
    <x v="1"/>
    <n v="5311"/>
    <n v="4248.8"/>
    <n v="531.1"/>
  </r>
  <r>
    <x v="1"/>
    <x v="5"/>
    <x v="2"/>
    <x v="0"/>
    <n v="2532"/>
    <n v="2025.6000000000001"/>
    <n v="253.20000000000002"/>
  </r>
  <r>
    <x v="1"/>
    <x v="6"/>
    <x v="0"/>
    <x v="1"/>
    <n v="6979"/>
    <n v="4885.3"/>
    <n v="697.90000000000009"/>
  </r>
  <r>
    <x v="1"/>
    <x v="6"/>
    <x v="0"/>
    <x v="0"/>
    <n v="4440"/>
    <n v="3108.0000000000005"/>
    <n v="444"/>
  </r>
  <r>
    <x v="1"/>
    <x v="6"/>
    <x v="1"/>
    <x v="1"/>
    <n v="2778"/>
    <n v="1389"/>
    <n v="555.6"/>
  </r>
  <r>
    <x v="1"/>
    <x v="6"/>
    <x v="1"/>
    <x v="0"/>
    <n v="1689"/>
    <n v="844.5"/>
    <n v="337.8"/>
  </r>
  <r>
    <x v="1"/>
    <x v="6"/>
    <x v="2"/>
    <x v="1"/>
    <n v="6528"/>
    <n v="3264"/>
    <n v="652.80000000000007"/>
  </r>
  <r>
    <x v="1"/>
    <x v="6"/>
    <x v="2"/>
    <x v="0"/>
    <n v="1611"/>
    <n v="805.5"/>
    <n v="161.10000000000002"/>
  </r>
  <r>
    <x v="1"/>
    <x v="7"/>
    <x v="0"/>
    <x v="1"/>
    <n v="8809"/>
    <n v="4404.5"/>
    <n v="880.90000000000009"/>
  </r>
  <r>
    <x v="1"/>
    <x v="7"/>
    <x v="0"/>
    <x v="0"/>
    <n v="4901"/>
    <n v="2450.5"/>
    <n v="490.1"/>
  </r>
  <r>
    <x v="1"/>
    <x v="7"/>
    <x v="1"/>
    <x v="1"/>
    <n v="5369"/>
    <n v="2684.5"/>
    <n v="1073.8"/>
  </r>
  <r>
    <x v="1"/>
    <x v="7"/>
    <x v="1"/>
    <x v="0"/>
    <n v="2300"/>
    <n v="1150"/>
    <n v="460"/>
  </r>
  <r>
    <x v="1"/>
    <x v="7"/>
    <x v="2"/>
    <x v="1"/>
    <n v="7646"/>
    <n v="3823"/>
    <n v="1529.2"/>
  </r>
  <r>
    <x v="1"/>
    <x v="7"/>
    <x v="2"/>
    <x v="0"/>
    <n v="455"/>
    <n v="227.5"/>
    <n v="91"/>
  </r>
  <r>
    <x v="1"/>
    <x v="8"/>
    <x v="0"/>
    <x v="1"/>
    <n v="8073"/>
    <n v="4843.8000000000011"/>
    <n v="1614.6000000000001"/>
  </r>
  <r>
    <x v="1"/>
    <x v="8"/>
    <x v="0"/>
    <x v="0"/>
    <n v="3828"/>
    <n v="2296.8000000000002"/>
    <n v="765.6"/>
  </r>
  <r>
    <x v="1"/>
    <x v="8"/>
    <x v="1"/>
    <x v="1"/>
    <n v="4109"/>
    <n v="3287.2000000000003"/>
    <n v="410.90000000000003"/>
  </r>
  <r>
    <x v="1"/>
    <x v="8"/>
    <x v="1"/>
    <x v="0"/>
    <n v="3500"/>
    <n v="2800"/>
    <n v="350"/>
  </r>
  <r>
    <x v="1"/>
    <x v="8"/>
    <x v="2"/>
    <x v="1"/>
    <n v="5449"/>
    <n v="4359.2"/>
    <n v="544.9"/>
  </r>
  <r>
    <x v="1"/>
    <x v="8"/>
    <x v="2"/>
    <x v="0"/>
    <n v="3022"/>
    <n v="2417.6"/>
    <n v="302.2"/>
  </r>
  <r>
    <x v="1"/>
    <x v="9"/>
    <x v="0"/>
    <x v="1"/>
    <n v="7814"/>
    <n v="3907"/>
    <n v="1562.8000000000002"/>
  </r>
  <r>
    <x v="1"/>
    <x v="9"/>
    <x v="0"/>
    <x v="0"/>
    <n v="1808"/>
    <n v="904"/>
    <n v="361.6"/>
  </r>
  <r>
    <x v="1"/>
    <x v="9"/>
    <x v="1"/>
    <x v="1"/>
    <n v="3706"/>
    <n v="2594.2000000000003"/>
    <n v="741.2"/>
  </r>
  <r>
    <x v="1"/>
    <x v="9"/>
    <x v="1"/>
    <x v="0"/>
    <n v="2150"/>
    <n v="1505.0000000000002"/>
    <n v="430"/>
  </r>
  <r>
    <x v="1"/>
    <x v="9"/>
    <x v="2"/>
    <x v="1"/>
    <n v="4586"/>
    <n v="2751.6000000000004"/>
    <n v="458.6"/>
  </r>
  <r>
    <x v="1"/>
    <x v="9"/>
    <x v="2"/>
    <x v="0"/>
    <n v="3867"/>
    <n v="2320.2000000000003"/>
    <n v="386.7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3DDC8-E1F2-4766-B543-81F51B242EF8}" name="Service Profi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6:L30" firstHeaderRow="0" firstDataRow="1" firstDataCol="1" rowPageCount="2" colPageCount="1"/>
  <pivotFields count="10">
    <pivotField showAll="0"/>
    <pivotField axis="axisPage" multipleItemSelectionAllowed="1" showAll="0">
      <items count="11">
        <item x="0"/>
        <item x="1"/>
        <item x="2"/>
        <item x="3"/>
        <item x="4"/>
        <item x="5"/>
        <item x="6"/>
        <item x="7"/>
        <item x="8"/>
        <item x="9"/>
        <item t="default"/>
      </items>
    </pivotField>
    <pivotField name="Service profitability" axis="axisRow" showAll="0">
      <items count="4">
        <item x="2"/>
        <item x="0"/>
        <item x="1"/>
        <item t="default"/>
      </items>
    </pivotField>
    <pivotField axis="axisPage" showAll="0">
      <items count="3">
        <item x="1"/>
        <item x="0"/>
        <item t="default"/>
      </items>
    </pivotField>
    <pivotField dataField="1"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t="grand">
      <x/>
    </i>
  </rowItems>
  <colFields count="1">
    <field x="-2"/>
  </colFields>
  <colItems count="3">
    <i>
      <x/>
    </i>
    <i i="1">
      <x v="1"/>
    </i>
    <i i="2">
      <x v="2"/>
    </i>
  </colItems>
  <pageFields count="2">
    <pageField fld="1" hier="-1"/>
    <pageField fld="3" hier="-1"/>
  </pageFields>
  <dataFields count="3">
    <dataField name="Revenue " fld="4" baseField="0" baseItem="0"/>
    <dataField name="Gross Profit " fld="5" baseField="0" baseItem="0"/>
    <dataField name="EBITDA " fld="6" baseField="0" baseItem="0"/>
  </dataFields>
  <chartFormats count="3">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692EB-8242-47DB-824E-F7D191CA9B7E}" name="Revenue vs EBITD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5:K16" firstHeaderRow="0" firstDataRow="1" firstDataCol="1" rowPageCount="2" colPageCount="1"/>
  <pivotFields count="10">
    <pivotField showAll="0"/>
    <pivotField axis="axisRow" showAll="0">
      <items count="11">
        <item x="0"/>
        <item x="1"/>
        <item x="2"/>
        <item x="3"/>
        <item x="4"/>
        <item x="5"/>
        <item x="6"/>
        <item x="7"/>
        <item x="8"/>
        <item x="9"/>
        <item t="default"/>
      </items>
    </pivotField>
    <pivotField axis="axisPage" multipleItemSelectionAllowed="1" showAll="0">
      <items count="4">
        <item x="2"/>
        <item x="0"/>
        <item x="1"/>
        <item t="default"/>
      </items>
    </pivotField>
    <pivotField axis="axisPage" showAll="0">
      <items count="3">
        <item x="1"/>
        <item x="0"/>
        <item t="default"/>
      </items>
    </pivotField>
    <pivotField dataField="1"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pageFields count="2">
    <pageField fld="3" hier="-1"/>
    <pageField fld="2" hier="-1"/>
  </pageFields>
  <dataFields count="2">
    <dataField name="Sum of Revenue" fld="4" baseField="0" baseItem="0"/>
    <dataField name="Sum of EBITDA"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544AE9-C313-4DA1-A7E6-838382250ADA}" name="doughnut 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72:M74" firstHeaderRow="1" firstDataRow="1" firstDataCol="1" rowPageCount="3" colPageCount="1"/>
  <pivotFields count="10">
    <pivotField showAll="0"/>
    <pivotField axis="axisPage" multipleItemSelectionAllowed="1" showAll="0">
      <items count="11">
        <item x="0"/>
        <item x="1"/>
        <item x="2"/>
        <item x="3"/>
        <item x="4"/>
        <item x="5"/>
        <item x="6"/>
        <item x="7"/>
        <item x="8"/>
        <item x="9"/>
        <item t="default"/>
      </items>
    </pivotField>
    <pivotField axis="axisPage" multipleItemSelectionAllowed="1" showAll="0">
      <items count="4">
        <item x="2"/>
        <item x="0"/>
        <item x="1"/>
        <item t="default"/>
      </items>
    </pivotField>
    <pivotField axis="axisPage" showAll="0">
      <items count="3">
        <item x="1"/>
        <item x="0"/>
        <item t="default"/>
      </items>
    </pivotField>
    <pivotField showAll="0"/>
    <pivotField showAll="0"/>
    <pivotField dataField="1" showAl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2">
    <i>
      <x/>
    </i>
    <i i="1">
      <x v="1"/>
    </i>
  </rowItems>
  <colItems count="1">
    <i/>
  </colItems>
  <pageFields count="3">
    <pageField fld="1" hier="-1"/>
    <pageField fld="2" hier="-1"/>
    <pageField fld="3" item="0" hier="-1"/>
  </pageFields>
  <dataFields count="2">
    <dataField name="Sum of EBITDA" fld="6" baseField="0" baseItem="0"/>
    <dataField name="Sum of Difference" fld="7"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1">
          <reference field="4294967294" count="1" selected="0">
            <x v="0"/>
          </reference>
        </references>
      </pivotArea>
    </chartFormat>
    <chartFormat chart="5" format="7">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423E6-4BC9-4541-9516-0E6A2742EDC5}" name="doughnut 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72:J74" firstHeaderRow="1" firstDataRow="1" firstDataCol="1" rowPageCount="3" colPageCount="1"/>
  <pivotFields count="10">
    <pivotField showAll="0"/>
    <pivotField axis="axisPage" multipleItemSelectionAllowed="1" showAll="0">
      <items count="11">
        <item x="0"/>
        <item x="1"/>
        <item x="2"/>
        <item x="3"/>
        <item x="4"/>
        <item x="5"/>
        <item x="6"/>
        <item x="7"/>
        <item x="8"/>
        <item x="9"/>
        <item t="default"/>
      </items>
    </pivotField>
    <pivotField axis="axisPage" multipleItemSelectionAllowed="1" showAll="0">
      <items count="4">
        <item x="2"/>
        <item x="0"/>
        <item x="1"/>
        <item t="default"/>
      </items>
    </pivotField>
    <pivotField axis="axisPage" showAll="0">
      <items count="3">
        <item x="1"/>
        <item x="0"/>
        <item t="default"/>
      </items>
    </pivotField>
    <pivotField showAll="0"/>
    <pivotField dataField="1"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2">
    <i>
      <x/>
    </i>
    <i i="1">
      <x v="1"/>
    </i>
  </rowItems>
  <colItems count="1">
    <i/>
  </colItems>
  <pageFields count="3">
    <pageField fld="1" hier="-1"/>
    <pageField fld="2" hier="-1"/>
    <pageField fld="3" item="0" hier="-1"/>
  </pageFields>
  <dataFields count="2">
    <dataField name="Sum of Gross Profit" fld="5" baseField="0" baseItem="0"/>
    <dataField name="Sum of Difference" fld="7" baseField="0" baseItem="0"/>
  </dataFields>
  <chartFormats count="6">
    <chartFormat chart="1" format="2" series="1">
      <pivotArea type="data" outline="0" fieldPosition="0">
        <references count="1">
          <reference field="4294967294" count="1" selected="0">
            <x v="0"/>
          </reference>
        </references>
      </pivotArea>
    </chartFormat>
    <chartFormat chart="1" format="3">
      <pivotArea type="data" outline="0" fieldPosition="0">
        <references count="1">
          <reference field="4294967294" count="1" selected="0">
            <x v="0"/>
          </reference>
        </references>
      </pivotArea>
    </chartFormat>
    <chartFormat chart="1" format="4">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0AB321-1F33-4E7B-96F9-51A4AC6D39C8}" name="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5:J58" firstHeaderRow="1" firstDataRow="1" firstDataCol="1"/>
  <pivotFields count="10">
    <pivotField axis="axisRow" showAll="0">
      <items count="3">
        <item x="1"/>
        <item x="0"/>
        <item t="default"/>
      </items>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3">
    <i>
      <x/>
    </i>
    <i>
      <x v="1"/>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642B5F-5F88-4F03-8021-0D44FB0274BE}" name="EBITDA brid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8:K39" firstHeaderRow="0" firstDataRow="1" firstDataCol="0" rowPageCount="3" colPageCount="1"/>
  <pivotFields count="10">
    <pivotField showAll="0"/>
    <pivotField axis="axisPage" multipleItemSelectionAllowed="1" showAll="0">
      <items count="11">
        <item x="0"/>
        <item x="1"/>
        <item x="2"/>
        <item x="3"/>
        <item x="4"/>
        <item x="5"/>
        <item x="6"/>
        <item x="7"/>
        <item x="8"/>
        <item x="9"/>
        <item t="default"/>
      </items>
    </pivotField>
    <pivotField axis="axisPage" multipleItemSelectionAllowed="1" showAll="0">
      <items count="4">
        <item x="2"/>
        <item x="0"/>
        <item x="1"/>
        <item t="default"/>
      </items>
    </pivotField>
    <pivotField axis="axisPage" showAll="0">
      <items count="3">
        <item x="1"/>
        <item x="0"/>
        <item t="default"/>
      </items>
    </pivotField>
    <pivotField dataField="1"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pageFields count="3">
    <pageField fld="1" hier="-1"/>
    <pageField fld="2" hier="-1"/>
    <pageField fld="3" hier="-1"/>
  </pageFields>
  <dataFields count="3">
    <dataField name="Sum of Revenue" fld="4" baseField="0" baseItem="0"/>
    <dataField name="Sum of Gross Profit" fld="5" baseField="0" baseItem="0"/>
    <dataField name="Sum of EBITD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18051F73-AA7B-4298-A5C3-6B223E697565}" sourceName="Service">
  <pivotTables>
    <pivotTable tabId="4" name="Revenue vs EBITDA"/>
    <pivotTable tabId="4" name="doughnut 1"/>
    <pivotTable tabId="4" name="doughnut 2"/>
    <pivotTable tabId="4" name="EBITDA bridge"/>
  </pivotTables>
  <data>
    <tabular pivotCacheId="4435699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84597E2-B34A-4AA7-940C-ED5ED7702C26}" sourceName="Customer Type">
  <pivotTables>
    <pivotTable tabId="4" name="Revenue vs EBITDA"/>
    <pivotTable tabId="4" name="Service Profitability"/>
    <pivotTable tabId="4" name="EBITDA bridge"/>
  </pivotTables>
  <data>
    <tabular pivotCacheId="44356994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B92B2B-5863-477A-A5C3-AC6C747759EA}" sourceName="Year">
  <pivotTables>
    <pivotTable tabId="4" name="Service Profitability"/>
    <pivotTable tabId="4" name="doughnut 1"/>
    <pivotTable tabId="4" name="doughnut 2"/>
    <pivotTable tabId="4" name="EBITDA bridge"/>
  </pivotTables>
  <data>
    <tabular pivotCacheId="443569942">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xr10:uid="{42CB83E0-83AF-4C19-8B4D-EF1D5C8199B1}" cache="Slicer_Service" caption="Service" rowHeight="273050"/>
  <slicer name="Customer Type" xr10:uid="{36DC2FEC-C97E-467A-A018-26F3F7A29E2C}" cache="Slicer_Customer_Type" caption="Customer Type" rowHeight="273050"/>
  <slicer name="Year" xr10:uid="{31DE5529-BE3C-41B9-A180-D3C0E2D4DF66}" cache="Slicer_Year" caption="Year"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3FABBA-1FF8-4C7A-A11F-54DF19B20ADA}" name="Table1" displayName="Table1" ref="A1:G241" totalsRowShown="0" headerRowDxfId="5">
  <autoFilter ref="A1:G241" xr:uid="{DB3FABBA-1FF8-4C7A-A11F-54DF19B20ADA}"/>
  <tableColumns count="7">
    <tableColumn id="1" xr3:uid="{B9D5D9BD-3AD6-45C6-9287-F07CF74FE444}" name="Country" dataDxfId="4"/>
    <tableColumn id="2" xr3:uid="{42034CC8-0F86-4BD4-A2ED-5166589D8336}" name="Year" dataDxfId="3"/>
    <tableColumn id="3" xr3:uid="{723FB6BB-D554-452F-8C9D-B0CB4A350A5A}" name="Service" dataDxfId="2"/>
    <tableColumn id="4" xr3:uid="{85584267-1EF7-4F00-A9E7-EF72AFFCDAC1}" name="Customer Type" dataDxfId="1"/>
    <tableColumn id="5" xr3:uid="{AC7B9812-225B-4E7C-9E79-EE1DB35D9AC5}" name="Revenue">
      <calculatedColumnFormula>INDEX('Financials Canada'!$E$7:$N$19,MATCH(_xlfn.CONCAT('Input Data'!D2,'Input Data'!C2),'Financials Canada'!$A$7:$A$19,0),MATCH('Input Data'!B2,'Financials Canada'!$E$1:$N$1,0))</calculatedColumnFormula>
    </tableColumn>
    <tableColumn id="6" xr3:uid="{5BC472EB-53B3-43DE-9C46-6EE29639F1BD}" name="Gross Profit">
      <calculatedColumnFormula>VLOOKUP(_xlfn.CONCAT(A2,B2,C2),'Gross Profit &amp; EBITDA'!$D$2:$F$61,2,FALSE)*E2</calculatedColumnFormula>
    </tableColumn>
    <tableColumn id="7" xr3:uid="{1EDB278F-65D7-4879-B83E-8012B5BCB5FF}" name="EBITDA">
      <calculatedColumnFormula>VLOOKUP(_xlfn.CONCAT(A2,B2,C2),'Gross Profit &amp; EBITDA'!$D$2:$F$61,3,FALSE)*E2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BF097F-B034-41C6-B7DD-E1516B59749E}" name="Table2" displayName="Table2" ref="I60:J62" totalsRowShown="0">
  <autoFilter ref="I60:J62" xr:uid="{3CBF097F-B034-41C6-B7DD-E1516B59749E}"/>
  <tableColumns count="2">
    <tableColumn id="1" xr3:uid="{B812D75A-39DC-4013-AB64-9E6AFE3D94FE}" name="Country" dataDxfId="0"/>
    <tableColumn id="2" xr3:uid="{BA7D9C91-A93E-4AC1-B042-33D34F741931}" name="Revenue">
      <calculatedColumnFormula>GETPIVOTDATA("Revenue",$I$55,"Country","USA")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1155-5B4C-4799-AD41-4DFF00A36AEF}">
  <dimension ref="A1"/>
  <sheetViews>
    <sheetView showGridLines="0" tabSelected="1" zoomScale="70" zoomScaleNormal="70" workbookViewId="0">
      <selection activeCell="AB24" sqref="AB24"/>
    </sheetView>
  </sheetViews>
  <sheetFormatPr defaultRowHeight="15.6" x14ac:dyDescent="0.3"/>
  <sheetData/>
  <pageMargins left="0.7" right="0.7" top="0.75" bottom="0.75" header="0.3" footer="0.3"/>
  <pageSetup paperSize="9"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52B6-20C1-4249-B1F2-173B76C9CE69}">
  <dimension ref="A1:M241"/>
  <sheetViews>
    <sheetView workbookViewId="0">
      <selection activeCell="I28" sqref="I28"/>
    </sheetView>
  </sheetViews>
  <sheetFormatPr defaultColWidth="11.19921875" defaultRowHeight="15.6" x14ac:dyDescent="0.3"/>
  <cols>
    <col min="1" max="1" width="9.296875" customWidth="1"/>
    <col min="2" max="2" width="6.3984375" customWidth="1"/>
    <col min="3" max="3" width="17.5" bestFit="1" customWidth="1"/>
    <col min="4" max="4" width="15.09765625" customWidth="1"/>
    <col min="6" max="6" width="12.296875" customWidth="1"/>
    <col min="9" max="9" width="14.3984375" bestFit="1" customWidth="1"/>
    <col min="10" max="10" width="16.8984375" bestFit="1" customWidth="1"/>
    <col min="11" max="11" width="13.09765625" bestFit="1" customWidth="1"/>
    <col min="12" max="12" width="15.5" bestFit="1" customWidth="1"/>
    <col min="13" max="13" width="11" bestFit="1" customWidth="1"/>
    <col min="14" max="14" width="23.5" bestFit="1" customWidth="1"/>
  </cols>
  <sheetData>
    <row r="1" spans="1:11" x14ac:dyDescent="0.3">
      <c r="A1" s="29" t="s">
        <v>11</v>
      </c>
      <c r="B1" s="29" t="s">
        <v>0</v>
      </c>
      <c r="C1" s="29" t="s">
        <v>16</v>
      </c>
      <c r="D1" s="29" t="s">
        <v>17</v>
      </c>
      <c r="E1" s="29" t="s">
        <v>18</v>
      </c>
      <c r="F1" s="29" t="s">
        <v>19</v>
      </c>
      <c r="G1" s="29" t="s">
        <v>20</v>
      </c>
    </row>
    <row r="2" spans="1:11" x14ac:dyDescent="0.3">
      <c r="A2" s="28" t="s">
        <v>14</v>
      </c>
      <c r="B2" s="28">
        <v>2018</v>
      </c>
      <c r="C2" s="28" t="s">
        <v>5</v>
      </c>
      <c r="D2" s="28" t="s">
        <v>4</v>
      </c>
      <c r="E2">
        <f>INDEX('Financials USA'!$E$7:$N$19,MATCH(_xlfn.CONCAT('Input Data'!D2,'Input Data'!C2),'Financials USA'!$A$7:$A$19,0),MATCH('Input Data'!B2,'Financials USA'!$E$1:$N$1,0))</f>
        <v>1869</v>
      </c>
      <c r="F2">
        <f>VLOOKUP(_xlfn.CONCAT(A2,B2,C2),'Gross Profit &amp; EBITDA'!$D$2:$F$61,2,FALSE)*E2</f>
        <v>934.5</v>
      </c>
      <c r="G2">
        <f>VLOOKUP(_xlfn.CONCAT(A2,B2,C2),'Gross Profit &amp; EBITDA'!$D$2:$F$61,3,FALSE)*E2</f>
        <v>373.8</v>
      </c>
      <c r="I2" s="30" t="s">
        <v>17</v>
      </c>
      <c r="J2" t="s">
        <v>35</v>
      </c>
    </row>
    <row r="3" spans="1:11" x14ac:dyDescent="0.3">
      <c r="A3" s="28" t="s">
        <v>14</v>
      </c>
      <c r="B3" s="28">
        <v>2018</v>
      </c>
      <c r="C3" s="28" t="s">
        <v>5</v>
      </c>
      <c r="D3" s="28" t="s">
        <v>6</v>
      </c>
      <c r="E3">
        <f>INDEX('Financials USA'!$E$7:$N$19,MATCH(_xlfn.CONCAT('Input Data'!D3,'Input Data'!C3),'Financials USA'!$A$7:$A$19,0),MATCH('Input Data'!B3,'Financials USA'!$E$1:$N$1,0))</f>
        <v>23961</v>
      </c>
      <c r="F3">
        <f>VLOOKUP(_xlfn.CONCAT(A3,B3,C3),'Gross Profit &amp; EBITDA'!$D$2:$F$61,2,FALSE)*E3</f>
        <v>11980.5</v>
      </c>
      <c r="G3">
        <f>VLOOKUP(_xlfn.CONCAT(A3,B3,C3),'Gross Profit &amp; EBITDA'!$D$2:$F$61,3,FALSE)*E3</f>
        <v>4792.2</v>
      </c>
      <c r="I3" s="30" t="s">
        <v>16</v>
      </c>
      <c r="J3" t="s">
        <v>35</v>
      </c>
    </row>
    <row r="4" spans="1:11" x14ac:dyDescent="0.3">
      <c r="A4" s="28" t="s">
        <v>14</v>
      </c>
      <c r="B4" s="28">
        <v>2018</v>
      </c>
      <c r="C4" s="28" t="s">
        <v>8</v>
      </c>
      <c r="D4" s="28" t="s">
        <v>4</v>
      </c>
      <c r="E4">
        <f>INDEX('Financials USA'!$E$7:$N$19,MATCH(_xlfn.CONCAT('Input Data'!D4,'Input Data'!C4),'Financials USA'!$A$7:$A$19,0),MATCH('Input Data'!B4,'Financials USA'!$E$1:$N$1,0))</f>
        <v>5607</v>
      </c>
      <c r="F4">
        <f>VLOOKUP(_xlfn.CONCAT(A4,B4,C4),'Gross Profit &amp; EBITDA'!$D$2:$F$61,2,FALSE)*E4</f>
        <v>3924.9000000000005</v>
      </c>
      <c r="G4">
        <f>VLOOKUP(_xlfn.CONCAT(A4,B4,C4),'Gross Profit &amp; EBITDA'!$D$2:$F$61,3,FALSE)*E4</f>
        <v>1121.4000000000001</v>
      </c>
    </row>
    <row r="5" spans="1:11" x14ac:dyDescent="0.3">
      <c r="A5" s="28" t="s">
        <v>14</v>
      </c>
      <c r="B5" s="28">
        <v>2018</v>
      </c>
      <c r="C5" s="28" t="s">
        <v>8</v>
      </c>
      <c r="D5" s="28" t="s">
        <v>6</v>
      </c>
      <c r="E5">
        <f>INDEX('Financials USA'!$E$7:$N$19,MATCH(_xlfn.CONCAT('Input Data'!D5,'Input Data'!C5),'Financials USA'!$A$7:$A$19,0),MATCH('Input Data'!B5,'Financials USA'!$E$1:$N$1,0))</f>
        <v>23961</v>
      </c>
      <c r="F5">
        <f>VLOOKUP(_xlfn.CONCAT(A5,B5,C5),'Gross Profit &amp; EBITDA'!$D$2:$F$61,2,FALSE)*E5</f>
        <v>16772.7</v>
      </c>
      <c r="G5">
        <f>VLOOKUP(_xlfn.CONCAT(A5,B5,C5),'Gross Profit &amp; EBITDA'!$D$2:$F$61,3,FALSE)*E5</f>
        <v>4792.2</v>
      </c>
      <c r="I5" s="30" t="s">
        <v>22</v>
      </c>
      <c r="J5" t="s">
        <v>24</v>
      </c>
      <c r="K5" t="s">
        <v>25</v>
      </c>
    </row>
    <row r="6" spans="1:11" x14ac:dyDescent="0.3">
      <c r="A6" s="28" t="s">
        <v>14</v>
      </c>
      <c r="B6" s="28">
        <v>2018</v>
      </c>
      <c r="C6" s="28" t="s">
        <v>9</v>
      </c>
      <c r="D6" s="28" t="s">
        <v>4</v>
      </c>
      <c r="E6">
        <f>INDEX('Financials USA'!$E$7:$N$19,MATCH(_xlfn.CONCAT('Input Data'!D6,'Input Data'!C6),'Financials USA'!$A$7:$A$19,0),MATCH('Input Data'!B6,'Financials USA'!$E$1:$N$1,0))</f>
        <v>684</v>
      </c>
      <c r="F6">
        <f>VLOOKUP(_xlfn.CONCAT(A6,B6,C6),'Gross Profit &amp; EBITDA'!$D$2:$F$61,2,FALSE)*E6</f>
        <v>478.80000000000007</v>
      </c>
      <c r="G6">
        <f>VLOOKUP(_xlfn.CONCAT(A6,B6,C6),'Gross Profit &amp; EBITDA'!$D$2:$F$61,3,FALSE)*E6</f>
        <v>68.400000000000006</v>
      </c>
      <c r="I6" s="31">
        <v>2018</v>
      </c>
      <c r="J6" s="32">
        <v>172710</v>
      </c>
      <c r="K6" s="32">
        <v>31368.400000000001</v>
      </c>
    </row>
    <row r="7" spans="1:11" x14ac:dyDescent="0.3">
      <c r="A7" s="28" t="s">
        <v>14</v>
      </c>
      <c r="B7" s="28">
        <v>2018</v>
      </c>
      <c r="C7" s="28" t="s">
        <v>9</v>
      </c>
      <c r="D7" s="28" t="s">
        <v>6</v>
      </c>
      <c r="E7">
        <f>INDEX('Financials USA'!$E$7:$N$19,MATCH(_xlfn.CONCAT('Input Data'!D7,'Input Data'!C7),'Financials USA'!$A$7:$A$19,0),MATCH('Input Data'!B7,'Financials USA'!$E$1:$N$1,0))</f>
        <v>9098</v>
      </c>
      <c r="F7">
        <f>VLOOKUP(_xlfn.CONCAT(A7,B7,C7),'Gross Profit &amp; EBITDA'!$D$2:$F$61,2,FALSE)*E7</f>
        <v>6368.6</v>
      </c>
      <c r="G7">
        <f>VLOOKUP(_xlfn.CONCAT(A7,B7,C7),'Gross Profit &amp; EBITDA'!$D$2:$F$61,3,FALSE)*E7</f>
        <v>909.80000000000007</v>
      </c>
      <c r="I7" s="31">
        <v>2019</v>
      </c>
      <c r="J7" s="32">
        <v>372232</v>
      </c>
      <c r="K7" s="32">
        <v>47960.799999999996</v>
      </c>
    </row>
    <row r="8" spans="1:11" x14ac:dyDescent="0.3">
      <c r="A8" s="28" t="s">
        <v>14</v>
      </c>
      <c r="B8" s="28">
        <v>2019</v>
      </c>
      <c r="C8" s="28" t="s">
        <v>5</v>
      </c>
      <c r="D8" s="28" t="s">
        <v>4</v>
      </c>
      <c r="E8">
        <f>INDEX('Financials USA'!$E$7:$N$19,MATCH(_xlfn.CONCAT('Input Data'!D8,'Input Data'!C8),'Financials USA'!$A$7:$A$19,0),MATCH('Input Data'!B8,'Financials USA'!$E$1:$N$1,0))</f>
        <v>3211</v>
      </c>
      <c r="F8">
        <f>VLOOKUP(_xlfn.CONCAT(A8,B8,C8),'Gross Profit &amp; EBITDA'!$D$2:$F$61,2,FALSE)*E8</f>
        <v>1605.5</v>
      </c>
      <c r="G8">
        <f>VLOOKUP(_xlfn.CONCAT(A8,B8,C8),'Gross Profit &amp; EBITDA'!$D$2:$F$61,3,FALSE)*E8</f>
        <v>321.10000000000002</v>
      </c>
      <c r="I8" s="31">
        <v>2020</v>
      </c>
      <c r="J8" s="32">
        <v>253994</v>
      </c>
      <c r="K8" s="32">
        <v>44749.399999999994</v>
      </c>
    </row>
    <row r="9" spans="1:11" x14ac:dyDescent="0.3">
      <c r="A9" s="28" t="s">
        <v>14</v>
      </c>
      <c r="B9" s="28">
        <v>2019</v>
      </c>
      <c r="C9" s="28" t="s">
        <v>5</v>
      </c>
      <c r="D9" s="28" t="s">
        <v>6</v>
      </c>
      <c r="E9">
        <f>INDEX('Financials USA'!$E$7:$N$19,MATCH(_xlfn.CONCAT('Input Data'!D9,'Input Data'!C9),'Financials USA'!$A$7:$A$19,0),MATCH('Input Data'!B9,'Financials USA'!$E$1:$N$1,0))</f>
        <v>15956</v>
      </c>
      <c r="F9">
        <f>VLOOKUP(_xlfn.CONCAT(A9,B9,C9),'Gross Profit &amp; EBITDA'!$D$2:$F$61,2,FALSE)*E9</f>
        <v>7978</v>
      </c>
      <c r="G9">
        <f>VLOOKUP(_xlfn.CONCAT(A9,B9,C9),'Gross Profit &amp; EBITDA'!$D$2:$F$61,3,FALSE)*E9</f>
        <v>1595.6000000000001</v>
      </c>
      <c r="I9" s="31">
        <v>2021</v>
      </c>
      <c r="J9" s="32">
        <v>341092</v>
      </c>
      <c r="K9" s="32">
        <v>43972.399999999987</v>
      </c>
    </row>
    <row r="10" spans="1:11" x14ac:dyDescent="0.3">
      <c r="A10" s="28" t="s">
        <v>14</v>
      </c>
      <c r="B10" s="28">
        <v>2019</v>
      </c>
      <c r="C10" s="28" t="s">
        <v>8</v>
      </c>
      <c r="D10" s="28" t="s">
        <v>4</v>
      </c>
      <c r="E10">
        <f>INDEX('Financials USA'!$E$7:$N$19,MATCH(_xlfn.CONCAT('Input Data'!D10,'Input Data'!C10),'Financials USA'!$A$7:$A$19,0),MATCH('Input Data'!B10,'Financials USA'!$E$1:$N$1,0))</f>
        <v>12844</v>
      </c>
      <c r="F10">
        <f>VLOOKUP(_xlfn.CONCAT(A10,B10,C10),'Gross Profit &amp; EBITDA'!$D$2:$F$61,2,FALSE)*E10</f>
        <v>6422</v>
      </c>
      <c r="G10">
        <f>VLOOKUP(_xlfn.CONCAT(A10,B10,C10),'Gross Profit &amp; EBITDA'!$D$2:$F$61,3,FALSE)*E10</f>
        <v>1284.4000000000001</v>
      </c>
      <c r="I10" s="31">
        <v>2022</v>
      </c>
      <c r="J10" s="32">
        <v>362808</v>
      </c>
      <c r="K10" s="32">
        <v>39367.799999999996</v>
      </c>
    </row>
    <row r="11" spans="1:11" x14ac:dyDescent="0.3">
      <c r="A11" s="28" t="s">
        <v>14</v>
      </c>
      <c r="B11" s="28">
        <v>2019</v>
      </c>
      <c r="C11" s="28" t="s">
        <v>8</v>
      </c>
      <c r="D11" s="28" t="s">
        <v>6</v>
      </c>
      <c r="E11">
        <f>INDEX('Financials USA'!$E$7:$N$19,MATCH(_xlfn.CONCAT('Input Data'!D11,'Input Data'!C11),'Financials USA'!$A$7:$A$19,0),MATCH('Input Data'!B11,'Financials USA'!$E$1:$N$1,0))</f>
        <v>95736</v>
      </c>
      <c r="F11">
        <f>VLOOKUP(_xlfn.CONCAT(A11,B11,C11),'Gross Profit &amp; EBITDA'!$D$2:$F$61,2,FALSE)*E11</f>
        <v>47868</v>
      </c>
      <c r="G11">
        <f>VLOOKUP(_xlfn.CONCAT(A11,B11,C11),'Gross Profit &amp; EBITDA'!$D$2:$F$61,3,FALSE)*E11</f>
        <v>9573.6</v>
      </c>
      <c r="I11" s="31">
        <v>2023</v>
      </c>
      <c r="J11" s="32">
        <v>396536</v>
      </c>
      <c r="K11" s="32">
        <v>73539.200000000012</v>
      </c>
    </row>
    <row r="12" spans="1:11" x14ac:dyDescent="0.3">
      <c r="A12" s="28" t="s">
        <v>14</v>
      </c>
      <c r="B12" s="28">
        <v>2019</v>
      </c>
      <c r="C12" s="28" t="s">
        <v>9</v>
      </c>
      <c r="D12" s="28" t="s">
        <v>4</v>
      </c>
      <c r="E12">
        <f>INDEX('Financials USA'!$E$7:$N$19,MATCH(_xlfn.CONCAT('Input Data'!D12,'Input Data'!C12),'Financials USA'!$A$7:$A$19,0),MATCH('Input Data'!B12,'Financials USA'!$E$1:$N$1,0))</f>
        <v>17682</v>
      </c>
      <c r="F12">
        <f>VLOOKUP(_xlfn.CONCAT(A12,B12,C12),'Gross Profit &amp; EBITDA'!$D$2:$F$61,2,FALSE)*E12</f>
        <v>10609.2</v>
      </c>
      <c r="G12">
        <f>VLOOKUP(_xlfn.CONCAT(A12,B12,C12),'Gross Profit &amp; EBITDA'!$D$2:$F$61,3,FALSE)*E12</f>
        <v>3536.4</v>
      </c>
      <c r="I12" s="31">
        <v>2024</v>
      </c>
      <c r="J12" s="32">
        <v>316422</v>
      </c>
      <c r="K12" s="32">
        <v>37103.200000000004</v>
      </c>
    </row>
    <row r="13" spans="1:11" x14ac:dyDescent="0.3">
      <c r="A13" s="28" t="s">
        <v>14</v>
      </c>
      <c r="B13" s="28">
        <v>2019</v>
      </c>
      <c r="C13" s="28" t="s">
        <v>9</v>
      </c>
      <c r="D13" s="28" t="s">
        <v>6</v>
      </c>
      <c r="E13">
        <f>INDEX('Financials USA'!$E$7:$N$19,MATCH(_xlfn.CONCAT('Input Data'!D13,'Input Data'!C13),'Financials USA'!$A$7:$A$19,0),MATCH('Input Data'!B13,'Financials USA'!$E$1:$N$1,0))</f>
        <v>19683</v>
      </c>
      <c r="F13">
        <f>VLOOKUP(_xlfn.CONCAT(A13,B13,C13),'Gross Profit &amp; EBITDA'!$D$2:$F$61,2,FALSE)*E13</f>
        <v>11809.800000000001</v>
      </c>
      <c r="G13">
        <f>VLOOKUP(_xlfn.CONCAT(A13,B13,C13),'Gross Profit &amp; EBITDA'!$D$2:$F$61,3,FALSE)*E13</f>
        <v>3936.6000000000004</v>
      </c>
      <c r="I13" s="31">
        <v>2025</v>
      </c>
      <c r="J13" s="32">
        <v>397088</v>
      </c>
      <c r="K13" s="32">
        <v>70410</v>
      </c>
    </row>
    <row r="14" spans="1:11" x14ac:dyDescent="0.3">
      <c r="A14" s="28" t="s">
        <v>14</v>
      </c>
      <c r="B14" s="28">
        <v>2020</v>
      </c>
      <c r="C14" s="28" t="s">
        <v>5</v>
      </c>
      <c r="D14" s="28" t="s">
        <v>4</v>
      </c>
      <c r="E14">
        <f>INDEX('Financials USA'!$E$7:$N$19,MATCH(_xlfn.CONCAT('Input Data'!D14,'Input Data'!C14),'Financials USA'!$A$7:$A$19,0),MATCH('Input Data'!B14,'Financials USA'!$E$1:$N$1,0))</f>
        <v>4810</v>
      </c>
      <c r="F14">
        <f>VLOOKUP(_xlfn.CONCAT(A14,B14,C14),'Gross Profit &amp; EBITDA'!$D$2:$F$61,2,FALSE)*E14</f>
        <v>3848</v>
      </c>
      <c r="G14">
        <f>VLOOKUP(_xlfn.CONCAT(A14,B14,C14),'Gross Profit &amp; EBITDA'!$D$2:$F$61,3,FALSE)*E14</f>
        <v>962</v>
      </c>
      <c r="I14" s="31">
        <v>2026</v>
      </c>
      <c r="J14" s="32">
        <v>384896</v>
      </c>
      <c r="K14" s="32">
        <v>73763.199999999997</v>
      </c>
    </row>
    <row r="15" spans="1:11" x14ac:dyDescent="0.3">
      <c r="A15" s="28" t="s">
        <v>14</v>
      </c>
      <c r="B15" s="28">
        <v>2020</v>
      </c>
      <c r="C15" s="28" t="s">
        <v>5</v>
      </c>
      <c r="D15" s="28" t="s">
        <v>6</v>
      </c>
      <c r="E15">
        <f>INDEX('Financials USA'!$E$7:$N$19,MATCH(_xlfn.CONCAT('Input Data'!D15,'Input Data'!C15),'Financials USA'!$A$7:$A$19,0),MATCH('Input Data'!B15,'Financials USA'!$E$1:$N$1,0))</f>
        <v>16090</v>
      </c>
      <c r="F15">
        <f>VLOOKUP(_xlfn.CONCAT(A15,B15,C15),'Gross Profit &amp; EBITDA'!$D$2:$F$61,2,FALSE)*E15</f>
        <v>12872</v>
      </c>
      <c r="G15">
        <f>VLOOKUP(_xlfn.CONCAT(A15,B15,C15),'Gross Profit &amp; EBITDA'!$D$2:$F$61,3,FALSE)*E15</f>
        <v>3218</v>
      </c>
      <c r="I15" s="31">
        <v>2027</v>
      </c>
      <c r="J15" s="32">
        <v>447026</v>
      </c>
      <c r="K15" s="32">
        <v>81941.400000000023</v>
      </c>
    </row>
    <row r="16" spans="1:11" x14ac:dyDescent="0.3">
      <c r="A16" s="28" t="s">
        <v>14</v>
      </c>
      <c r="B16" s="28">
        <v>2020</v>
      </c>
      <c r="C16" s="28" t="s">
        <v>8</v>
      </c>
      <c r="D16" s="28" t="s">
        <v>4</v>
      </c>
      <c r="E16">
        <f>INDEX('Financials USA'!$E$7:$N$19,MATCH(_xlfn.CONCAT('Input Data'!D16,'Input Data'!C16),'Financials USA'!$A$7:$A$19,0),MATCH('Input Data'!B16,'Financials USA'!$E$1:$N$1,0))</f>
        <v>9620</v>
      </c>
      <c r="F16">
        <f>VLOOKUP(_xlfn.CONCAT(A16,B16,C16),'Gross Profit &amp; EBITDA'!$D$2:$F$61,2,FALSE)*E16</f>
        <v>4810</v>
      </c>
      <c r="G16">
        <f>VLOOKUP(_xlfn.CONCAT(A16,B16,C16),'Gross Profit &amp; EBITDA'!$D$2:$F$61,3,FALSE)*E16</f>
        <v>962</v>
      </c>
      <c r="I16" s="31" t="s">
        <v>23</v>
      </c>
      <c r="J16" s="32">
        <v>3444804</v>
      </c>
      <c r="K16" s="32">
        <v>544175.80000000005</v>
      </c>
    </row>
    <row r="17" spans="1:12" x14ac:dyDescent="0.3">
      <c r="A17" s="28" t="s">
        <v>14</v>
      </c>
      <c r="B17" s="28">
        <v>2020</v>
      </c>
      <c r="C17" s="28" t="s">
        <v>8</v>
      </c>
      <c r="D17" s="28" t="s">
        <v>6</v>
      </c>
      <c r="E17">
        <f>INDEX('Financials USA'!$E$7:$N$19,MATCH(_xlfn.CONCAT('Input Data'!D17,'Input Data'!C17),'Financials USA'!$A$7:$A$19,0),MATCH('Input Data'!B17,'Financials USA'!$E$1:$N$1,0))</f>
        <v>16090</v>
      </c>
      <c r="F17">
        <f>VLOOKUP(_xlfn.CONCAT(A17,B17,C17),'Gross Profit &amp; EBITDA'!$D$2:$F$61,2,FALSE)*E17</f>
        <v>8045</v>
      </c>
      <c r="G17">
        <f>VLOOKUP(_xlfn.CONCAT(A17,B17,C17),'Gross Profit &amp; EBITDA'!$D$2:$F$61,3,FALSE)*E17</f>
        <v>1609</v>
      </c>
    </row>
    <row r="18" spans="1:12" x14ac:dyDescent="0.3">
      <c r="A18" s="28" t="s">
        <v>14</v>
      </c>
      <c r="B18" s="28">
        <v>2020</v>
      </c>
      <c r="C18" s="28" t="s">
        <v>9</v>
      </c>
      <c r="D18" s="28" t="s">
        <v>4</v>
      </c>
      <c r="E18">
        <f>INDEX('Financials USA'!$E$7:$N$19,MATCH(_xlfn.CONCAT('Input Data'!D18,'Input Data'!C18),'Financials USA'!$A$7:$A$19,0),MATCH('Input Data'!B18,'Financials USA'!$E$1:$N$1,0))</f>
        <v>10140</v>
      </c>
      <c r="F18">
        <f>VLOOKUP(_xlfn.CONCAT(A18,B18,C18),'Gross Profit &amp; EBITDA'!$D$2:$F$61,2,FALSE)*E18</f>
        <v>8112</v>
      </c>
      <c r="G18">
        <f>VLOOKUP(_xlfn.CONCAT(A18,B18,C18),'Gross Profit &amp; EBITDA'!$D$2:$F$61,3,FALSE)*E18</f>
        <v>2028</v>
      </c>
    </row>
    <row r="19" spans="1:12" x14ac:dyDescent="0.3">
      <c r="A19" s="28" t="s">
        <v>14</v>
      </c>
      <c r="B19" s="28">
        <v>2020</v>
      </c>
      <c r="C19" s="28" t="s">
        <v>9</v>
      </c>
      <c r="D19" s="28" t="s">
        <v>6</v>
      </c>
      <c r="E19">
        <f>INDEX('Financials USA'!$E$7:$N$19,MATCH(_xlfn.CONCAT('Input Data'!D19,'Input Data'!C19),'Financials USA'!$A$7:$A$19,0),MATCH('Input Data'!B19,'Financials USA'!$E$1:$N$1,0))</f>
        <v>55827</v>
      </c>
      <c r="F19">
        <f>VLOOKUP(_xlfn.CONCAT(A19,B19,C19),'Gross Profit &amp; EBITDA'!$D$2:$F$61,2,FALSE)*E19</f>
        <v>44661.600000000006</v>
      </c>
      <c r="G19">
        <f>VLOOKUP(_xlfn.CONCAT(A19,B19,C19),'Gross Profit &amp; EBITDA'!$D$2:$F$61,3,FALSE)*E19</f>
        <v>11165.400000000001</v>
      </c>
    </row>
    <row r="20" spans="1:12" x14ac:dyDescent="0.3">
      <c r="A20" s="28" t="s">
        <v>14</v>
      </c>
      <c r="B20" s="28">
        <v>2021</v>
      </c>
      <c r="C20" s="28" t="s">
        <v>5</v>
      </c>
      <c r="D20" s="28" t="s">
        <v>4</v>
      </c>
      <c r="E20">
        <f>INDEX('Financials USA'!$E$7:$N$19,MATCH(_xlfn.CONCAT('Input Data'!D20,'Input Data'!C20),'Financials USA'!$A$7:$A$19,0),MATCH('Input Data'!B20,'Financials USA'!$E$1:$N$1,0))</f>
        <v>7470</v>
      </c>
      <c r="F20">
        <f>VLOOKUP(_xlfn.CONCAT(A20,B20,C20),'Gross Profit &amp; EBITDA'!$D$2:$F$61,2,FALSE)*E20</f>
        <v>4482.0000000000009</v>
      </c>
      <c r="G20">
        <f>VLOOKUP(_xlfn.CONCAT(A20,B20,C20),'Gross Profit &amp; EBITDA'!$D$2:$F$61,3,FALSE)*E20</f>
        <v>1494</v>
      </c>
    </row>
    <row r="21" spans="1:12" x14ac:dyDescent="0.3">
      <c r="A21" s="28" t="s">
        <v>14</v>
      </c>
      <c r="B21" s="28">
        <v>2021</v>
      </c>
      <c r="C21" s="28" t="s">
        <v>5</v>
      </c>
      <c r="D21" s="28" t="s">
        <v>6</v>
      </c>
      <c r="E21">
        <f>INDEX('Financials USA'!$E$7:$N$19,MATCH(_xlfn.CONCAT('Input Data'!D21,'Input Data'!C21),'Financials USA'!$A$7:$A$19,0),MATCH('Input Data'!B21,'Financials USA'!$E$1:$N$1,0))</f>
        <v>15225</v>
      </c>
      <c r="F21">
        <f>VLOOKUP(_xlfn.CONCAT(A21,B21,C21),'Gross Profit &amp; EBITDA'!$D$2:$F$61,2,FALSE)*E21</f>
        <v>9135.0000000000018</v>
      </c>
      <c r="G21">
        <f>VLOOKUP(_xlfn.CONCAT(A21,B21,C21),'Gross Profit &amp; EBITDA'!$D$2:$F$61,3,FALSE)*E21</f>
        <v>3045</v>
      </c>
    </row>
    <row r="22" spans="1:12" x14ac:dyDescent="0.3">
      <c r="A22" s="28" t="s">
        <v>14</v>
      </c>
      <c r="B22" s="28">
        <v>2021</v>
      </c>
      <c r="C22" s="28" t="s">
        <v>8</v>
      </c>
      <c r="D22" s="28" t="s">
        <v>4</v>
      </c>
      <c r="E22">
        <f>INDEX('Financials USA'!$E$7:$N$19,MATCH(_xlfn.CONCAT('Input Data'!D22,'Input Data'!C22),'Financials USA'!$A$7:$A$19,0),MATCH('Input Data'!B22,'Financials USA'!$E$1:$N$1,0))</f>
        <v>29880</v>
      </c>
      <c r="F22">
        <f>VLOOKUP(_xlfn.CONCAT(A22,B22,C22),'Gross Profit &amp; EBITDA'!$D$2:$F$61,2,FALSE)*E22</f>
        <v>20916.000000000004</v>
      </c>
      <c r="G22">
        <f>VLOOKUP(_xlfn.CONCAT(A22,B22,C22),'Gross Profit &amp; EBITDA'!$D$2:$F$61,3,FALSE)*E22</f>
        <v>2988</v>
      </c>
    </row>
    <row r="23" spans="1:12" x14ac:dyDescent="0.3">
      <c r="A23" s="28" t="s">
        <v>14</v>
      </c>
      <c r="B23" s="28">
        <v>2021</v>
      </c>
      <c r="C23" s="28" t="s">
        <v>8</v>
      </c>
      <c r="D23" s="28" t="s">
        <v>6</v>
      </c>
      <c r="E23">
        <f>INDEX('Financials USA'!$E$7:$N$19,MATCH(_xlfn.CONCAT('Input Data'!D23,'Input Data'!C23),'Financials USA'!$A$7:$A$19,0),MATCH('Input Data'!B23,'Financials USA'!$E$1:$N$1,0))</f>
        <v>91350</v>
      </c>
      <c r="F23">
        <f>VLOOKUP(_xlfn.CONCAT(A23,B23,C23),'Gross Profit &amp; EBITDA'!$D$2:$F$61,2,FALSE)*E23</f>
        <v>63945.000000000007</v>
      </c>
      <c r="G23">
        <f>VLOOKUP(_xlfn.CONCAT(A23,B23,C23),'Gross Profit &amp; EBITDA'!$D$2:$F$61,3,FALSE)*E23</f>
        <v>9135</v>
      </c>
      <c r="I23" s="30" t="s">
        <v>0</v>
      </c>
      <c r="J23" t="s">
        <v>35</v>
      </c>
    </row>
    <row r="24" spans="1:12" x14ac:dyDescent="0.3">
      <c r="A24" s="28" t="s">
        <v>14</v>
      </c>
      <c r="B24" s="28">
        <v>2021</v>
      </c>
      <c r="C24" s="28" t="s">
        <v>9</v>
      </c>
      <c r="D24" s="28" t="s">
        <v>4</v>
      </c>
      <c r="E24">
        <f>INDEX('Financials USA'!$E$7:$N$19,MATCH(_xlfn.CONCAT('Input Data'!D24,'Input Data'!C24),'Financials USA'!$A$7:$A$19,0),MATCH('Input Data'!B24,'Financials USA'!$E$1:$N$1,0))</f>
        <v>3252</v>
      </c>
      <c r="F24">
        <f>VLOOKUP(_xlfn.CONCAT(A24,B24,C24),'Gross Profit &amp; EBITDA'!$D$2:$F$61,2,FALSE)*E24</f>
        <v>2601.6000000000004</v>
      </c>
      <c r="G24">
        <f>VLOOKUP(_xlfn.CONCAT(A24,B24,C24),'Gross Profit &amp; EBITDA'!$D$2:$F$61,3,FALSE)*E24</f>
        <v>650.40000000000009</v>
      </c>
      <c r="I24" s="30" t="s">
        <v>17</v>
      </c>
      <c r="J24" t="s">
        <v>35</v>
      </c>
    </row>
    <row r="25" spans="1:12" x14ac:dyDescent="0.3">
      <c r="A25" s="28" t="s">
        <v>14</v>
      </c>
      <c r="B25" s="28">
        <v>2021</v>
      </c>
      <c r="C25" s="28" t="s">
        <v>9</v>
      </c>
      <c r="D25" s="28" t="s">
        <v>6</v>
      </c>
      <c r="E25">
        <f>INDEX('Financials USA'!$E$7:$N$19,MATCH(_xlfn.CONCAT('Input Data'!D25,'Input Data'!C25),'Financials USA'!$A$7:$A$19,0),MATCH('Input Data'!B25,'Financials USA'!$E$1:$N$1,0))</f>
        <v>6756</v>
      </c>
      <c r="F25">
        <f>VLOOKUP(_xlfn.CONCAT(A25,B25,C25),'Gross Profit &amp; EBITDA'!$D$2:$F$61,2,FALSE)*E25</f>
        <v>5404.8</v>
      </c>
      <c r="G25">
        <f>VLOOKUP(_xlfn.CONCAT(A25,B25,C25),'Gross Profit &amp; EBITDA'!$D$2:$F$61,3,FALSE)*E25</f>
        <v>1351.2</v>
      </c>
    </row>
    <row r="26" spans="1:12" x14ac:dyDescent="0.3">
      <c r="A26" s="28" t="s">
        <v>14</v>
      </c>
      <c r="B26" s="28">
        <v>2022</v>
      </c>
      <c r="C26" s="28" t="s">
        <v>5</v>
      </c>
      <c r="D26" s="28" t="s">
        <v>4</v>
      </c>
      <c r="E26">
        <f>INDEX('Financials USA'!$E$7:$N$19,MATCH(_xlfn.CONCAT('Input Data'!D26,'Input Data'!C26),'Financials USA'!$A$7:$A$19,0),MATCH('Input Data'!B26,'Financials USA'!$E$1:$N$1,0))</f>
        <v>11367</v>
      </c>
      <c r="F26">
        <f>VLOOKUP(_xlfn.CONCAT(A26,B26,C26),'Gross Profit &amp; EBITDA'!$D$2:$F$61,2,FALSE)*E26</f>
        <v>7956.9000000000005</v>
      </c>
      <c r="G26">
        <f>VLOOKUP(_xlfn.CONCAT(A26,B26,C26),'Gross Profit &amp; EBITDA'!$D$2:$F$61,3,FALSE)*E26</f>
        <v>1136.7</v>
      </c>
      <c r="I26" s="30" t="s">
        <v>22</v>
      </c>
      <c r="J26" t="s">
        <v>32</v>
      </c>
      <c r="K26" t="s">
        <v>33</v>
      </c>
      <c r="L26" t="s">
        <v>34</v>
      </c>
    </row>
    <row r="27" spans="1:12" x14ac:dyDescent="0.3">
      <c r="A27" s="28" t="s">
        <v>14</v>
      </c>
      <c r="B27" s="28">
        <v>2022</v>
      </c>
      <c r="C27" s="28" t="s">
        <v>5</v>
      </c>
      <c r="D27" s="28" t="s">
        <v>6</v>
      </c>
      <c r="E27">
        <f>INDEX('Financials USA'!$E$7:$N$19,MATCH(_xlfn.CONCAT('Input Data'!D27,'Input Data'!C27),'Financials USA'!$A$7:$A$19,0),MATCH('Input Data'!B27,'Financials USA'!$E$1:$N$1,0))</f>
        <v>14484</v>
      </c>
      <c r="F27">
        <f>VLOOKUP(_xlfn.CONCAT(A27,B27,C27),'Gross Profit &amp; EBITDA'!$D$2:$F$61,2,FALSE)*E27</f>
        <v>10138.800000000001</v>
      </c>
      <c r="G27">
        <f>VLOOKUP(_xlfn.CONCAT(A27,B27,C27),'Gross Profit &amp; EBITDA'!$D$2:$F$61,3,FALSE)*E27</f>
        <v>1448.4</v>
      </c>
      <c r="I27" s="31" t="s">
        <v>9</v>
      </c>
      <c r="J27" s="32">
        <v>766694</v>
      </c>
      <c r="K27" s="32">
        <v>497113.79999999987</v>
      </c>
      <c r="L27" s="32">
        <v>131267.00000000003</v>
      </c>
    </row>
    <row r="28" spans="1:12" x14ac:dyDescent="0.3">
      <c r="A28" s="28" t="s">
        <v>14</v>
      </c>
      <c r="B28" s="28">
        <v>2022</v>
      </c>
      <c r="C28" s="28" t="s">
        <v>8</v>
      </c>
      <c r="D28" s="28" t="s">
        <v>4</v>
      </c>
      <c r="E28">
        <f>INDEX('Financials USA'!$E$7:$N$19,MATCH(_xlfn.CONCAT('Input Data'!D28,'Input Data'!C28),'Financials USA'!$A$7:$A$19,0),MATCH('Input Data'!B28,'Financials USA'!$E$1:$N$1,0))</f>
        <v>22734</v>
      </c>
      <c r="F28">
        <f>VLOOKUP(_xlfn.CONCAT(A28,B28,C28),'Gross Profit &amp; EBITDA'!$D$2:$F$61,2,FALSE)*E28</f>
        <v>11367</v>
      </c>
      <c r="G28">
        <f>VLOOKUP(_xlfn.CONCAT(A28,B28,C28),'Gross Profit &amp; EBITDA'!$D$2:$F$61,3,FALSE)*E28</f>
        <v>2273.4</v>
      </c>
      <c r="I28" s="31" t="s">
        <v>5</v>
      </c>
      <c r="J28" s="32">
        <v>701974</v>
      </c>
      <c r="K28" s="32">
        <v>416294.99999999988</v>
      </c>
      <c r="L28" s="32">
        <v>114326.60000000003</v>
      </c>
    </row>
    <row r="29" spans="1:12" x14ac:dyDescent="0.3">
      <c r="A29" s="28" t="s">
        <v>14</v>
      </c>
      <c r="B29" s="28">
        <v>2022</v>
      </c>
      <c r="C29" s="28" t="s">
        <v>8</v>
      </c>
      <c r="D29" s="28" t="s">
        <v>6</v>
      </c>
      <c r="E29">
        <f>INDEX('Financials USA'!$E$7:$N$19,MATCH(_xlfn.CONCAT('Input Data'!D29,'Input Data'!C29),'Financials USA'!$A$7:$A$19,0),MATCH('Input Data'!B29,'Financials USA'!$E$1:$N$1,0))</f>
        <v>86904</v>
      </c>
      <c r="F29">
        <f>VLOOKUP(_xlfn.CONCAT(A29,B29,C29),'Gross Profit &amp; EBITDA'!$D$2:$F$61,2,FALSE)*E29</f>
        <v>43452</v>
      </c>
      <c r="G29">
        <f>VLOOKUP(_xlfn.CONCAT(A29,B29,C29),'Gross Profit &amp; EBITDA'!$D$2:$F$61,3,FALSE)*E29</f>
        <v>8690.4</v>
      </c>
      <c r="I29" s="31" t="s">
        <v>8</v>
      </c>
      <c r="J29" s="32">
        <v>1976136</v>
      </c>
      <c r="K29" s="32">
        <v>1161788.3999999994</v>
      </c>
      <c r="L29" s="32">
        <v>298582.20000000013</v>
      </c>
    </row>
    <row r="30" spans="1:12" x14ac:dyDescent="0.3">
      <c r="A30" s="28" t="s">
        <v>14</v>
      </c>
      <c r="B30" s="28">
        <v>2022</v>
      </c>
      <c r="C30" s="28" t="s">
        <v>9</v>
      </c>
      <c r="D30" s="28" t="s">
        <v>4</v>
      </c>
      <c r="E30">
        <f>INDEX('Financials USA'!$E$7:$N$19,MATCH(_xlfn.CONCAT('Input Data'!D30,'Input Data'!C30),'Financials USA'!$A$7:$A$19,0),MATCH('Input Data'!B30,'Financials USA'!$E$1:$N$1,0))</f>
        <v>3515</v>
      </c>
      <c r="F30">
        <f>VLOOKUP(_xlfn.CONCAT(A30,B30,C30),'Gross Profit &amp; EBITDA'!$D$2:$F$61,2,FALSE)*E30</f>
        <v>2812</v>
      </c>
      <c r="G30">
        <f>VLOOKUP(_xlfn.CONCAT(A30,B30,C30),'Gross Profit &amp; EBITDA'!$D$2:$F$61,3,FALSE)*E30</f>
        <v>351.5</v>
      </c>
      <c r="I30" s="31" t="s">
        <v>23</v>
      </c>
      <c r="J30" s="32">
        <v>3444804</v>
      </c>
      <c r="K30" s="32">
        <v>2075197.1999999993</v>
      </c>
      <c r="L30" s="32">
        <v>544175.80000000016</v>
      </c>
    </row>
    <row r="31" spans="1:12" x14ac:dyDescent="0.3">
      <c r="A31" s="28" t="s">
        <v>14</v>
      </c>
      <c r="B31" s="28">
        <v>2022</v>
      </c>
      <c r="C31" s="28" t="s">
        <v>9</v>
      </c>
      <c r="D31" s="28" t="s">
        <v>6</v>
      </c>
      <c r="E31">
        <f>INDEX('Financials USA'!$E$7:$N$19,MATCH(_xlfn.CONCAT('Input Data'!D31,'Input Data'!C31),'Financials USA'!$A$7:$A$19,0),MATCH('Input Data'!B31,'Financials USA'!$E$1:$N$1,0))</f>
        <v>18760</v>
      </c>
      <c r="F31">
        <f>VLOOKUP(_xlfn.CONCAT(A31,B31,C31),'Gross Profit &amp; EBITDA'!$D$2:$F$61,2,FALSE)*E31</f>
        <v>15008</v>
      </c>
      <c r="G31">
        <f>VLOOKUP(_xlfn.CONCAT(A31,B31,C31),'Gross Profit &amp; EBITDA'!$D$2:$F$61,3,FALSE)*E31</f>
        <v>1876</v>
      </c>
    </row>
    <row r="32" spans="1:12" x14ac:dyDescent="0.3">
      <c r="A32" s="28" t="s">
        <v>14</v>
      </c>
      <c r="B32" s="28">
        <v>2023</v>
      </c>
      <c r="C32" s="28" t="s">
        <v>5</v>
      </c>
      <c r="D32" s="28" t="s">
        <v>4</v>
      </c>
      <c r="E32">
        <f>INDEX('Financials USA'!$E$7:$N$19,MATCH(_xlfn.CONCAT('Input Data'!D32,'Input Data'!C32),'Financials USA'!$A$7:$A$19,0),MATCH('Input Data'!B32,'Financials USA'!$E$1:$N$1,0))</f>
        <v>6894</v>
      </c>
      <c r="F32">
        <f>VLOOKUP(_xlfn.CONCAT(A32,B32,C32),'Gross Profit &amp; EBITDA'!$D$2:$F$61,2,FALSE)*E32</f>
        <v>4825.8</v>
      </c>
      <c r="G32">
        <f>VLOOKUP(_xlfn.CONCAT(A32,B32,C32),'Gross Profit &amp; EBITDA'!$D$2:$F$61,3,FALSE)*E32</f>
        <v>1378.8000000000002</v>
      </c>
    </row>
    <row r="33" spans="1:11" x14ac:dyDescent="0.3">
      <c r="A33" s="28" t="s">
        <v>14</v>
      </c>
      <c r="B33" s="28">
        <v>2023</v>
      </c>
      <c r="C33" s="28" t="s">
        <v>5</v>
      </c>
      <c r="D33" s="28" t="s">
        <v>6</v>
      </c>
      <c r="E33">
        <f>INDEX('Financials USA'!$E$7:$N$19,MATCH(_xlfn.CONCAT('Input Data'!D33,'Input Data'!C33),'Financials USA'!$A$7:$A$19,0),MATCH('Input Data'!B33,'Financials USA'!$E$1:$N$1,0))</f>
        <v>18660</v>
      </c>
      <c r="F33">
        <f>VLOOKUP(_xlfn.CONCAT(A33,B33,C33),'Gross Profit &amp; EBITDA'!$D$2:$F$61,2,FALSE)*E33</f>
        <v>13062.000000000002</v>
      </c>
      <c r="G33">
        <f>VLOOKUP(_xlfn.CONCAT(A33,B33,C33),'Gross Profit &amp; EBITDA'!$D$2:$F$61,3,FALSE)*E33</f>
        <v>3732</v>
      </c>
    </row>
    <row r="34" spans="1:11" x14ac:dyDescent="0.3">
      <c r="A34" s="28" t="s">
        <v>14</v>
      </c>
      <c r="B34" s="28">
        <v>2023</v>
      </c>
      <c r="C34" s="28" t="s">
        <v>8</v>
      </c>
      <c r="D34" s="28" t="s">
        <v>4</v>
      </c>
      <c r="E34">
        <f>INDEX('Financials USA'!$E$7:$N$19,MATCH(_xlfn.CONCAT('Input Data'!D34,'Input Data'!C34),'Financials USA'!$A$7:$A$19,0),MATCH('Input Data'!B34,'Financials USA'!$E$1:$N$1,0))</f>
        <v>13788</v>
      </c>
      <c r="F34">
        <f>VLOOKUP(_xlfn.CONCAT(A34,B34,C34),'Gross Profit &amp; EBITDA'!$D$2:$F$61,2,FALSE)*E34</f>
        <v>9651.6</v>
      </c>
      <c r="G34">
        <f>VLOOKUP(_xlfn.CONCAT(A34,B34,C34),'Gross Profit &amp; EBITDA'!$D$2:$F$61,3,FALSE)*E34</f>
        <v>2757.6000000000004</v>
      </c>
      <c r="I34" s="30" t="s">
        <v>0</v>
      </c>
      <c r="J34" t="s">
        <v>35</v>
      </c>
    </row>
    <row r="35" spans="1:11" x14ac:dyDescent="0.3">
      <c r="A35" s="28" t="s">
        <v>14</v>
      </c>
      <c r="B35" s="28">
        <v>2023</v>
      </c>
      <c r="C35" s="28" t="s">
        <v>8</v>
      </c>
      <c r="D35" s="28" t="s">
        <v>6</v>
      </c>
      <c r="E35">
        <f>INDEX('Financials USA'!$E$7:$N$19,MATCH(_xlfn.CONCAT('Input Data'!D35,'Input Data'!C35),'Financials USA'!$A$7:$A$19,0),MATCH('Input Data'!B35,'Financials USA'!$E$1:$N$1,0))</f>
        <v>111960</v>
      </c>
      <c r="F35">
        <f>VLOOKUP(_xlfn.CONCAT(A35,B35,C35),'Gross Profit &amp; EBITDA'!$D$2:$F$61,2,FALSE)*E35</f>
        <v>78372.000000000015</v>
      </c>
      <c r="G35">
        <f>VLOOKUP(_xlfn.CONCAT(A35,B35,C35),'Gross Profit &amp; EBITDA'!$D$2:$F$61,3,FALSE)*E35</f>
        <v>22392</v>
      </c>
      <c r="I35" s="30" t="s">
        <v>16</v>
      </c>
      <c r="J35" t="s">
        <v>35</v>
      </c>
    </row>
    <row r="36" spans="1:11" x14ac:dyDescent="0.3">
      <c r="A36" s="28" t="s">
        <v>14</v>
      </c>
      <c r="B36" s="28">
        <v>2023</v>
      </c>
      <c r="C36" s="28" t="s">
        <v>9</v>
      </c>
      <c r="D36" s="28" t="s">
        <v>4</v>
      </c>
      <c r="E36">
        <f>INDEX('Financials USA'!$E$7:$N$19,MATCH(_xlfn.CONCAT('Input Data'!D36,'Input Data'!C36),'Financials USA'!$A$7:$A$19,0),MATCH('Input Data'!B36,'Financials USA'!$E$1:$N$1,0))</f>
        <v>5064</v>
      </c>
      <c r="F36">
        <f>VLOOKUP(_xlfn.CONCAT(A36,B36,C36),'Gross Profit &amp; EBITDA'!$D$2:$F$61,2,FALSE)*E36</f>
        <v>4051.2000000000003</v>
      </c>
      <c r="G36">
        <f>VLOOKUP(_xlfn.CONCAT(A36,B36,C36),'Gross Profit &amp; EBITDA'!$D$2:$F$61,3,FALSE)*E36</f>
        <v>506.40000000000003</v>
      </c>
      <c r="I36" s="30" t="s">
        <v>17</v>
      </c>
      <c r="J36" t="s">
        <v>35</v>
      </c>
    </row>
    <row r="37" spans="1:11" x14ac:dyDescent="0.3">
      <c r="A37" s="28" t="s">
        <v>14</v>
      </c>
      <c r="B37" s="28">
        <v>2023</v>
      </c>
      <c r="C37" s="28" t="s">
        <v>9</v>
      </c>
      <c r="D37" s="28" t="s">
        <v>6</v>
      </c>
      <c r="E37">
        <f>INDEX('Financials USA'!$E$7:$N$19,MATCH(_xlfn.CONCAT('Input Data'!D37,'Input Data'!C37),'Financials USA'!$A$7:$A$19,0),MATCH('Input Data'!B37,'Financials USA'!$E$1:$N$1,0))</f>
        <v>15933</v>
      </c>
      <c r="F37">
        <f>VLOOKUP(_xlfn.CONCAT(A37,B37,C37),'Gross Profit &amp; EBITDA'!$D$2:$F$61,2,FALSE)*E37</f>
        <v>12746.400000000001</v>
      </c>
      <c r="G37">
        <f>VLOOKUP(_xlfn.CONCAT(A37,B37,C37),'Gross Profit &amp; EBITDA'!$D$2:$F$61,3,FALSE)*E37</f>
        <v>1593.3000000000002</v>
      </c>
    </row>
    <row r="38" spans="1:11" x14ac:dyDescent="0.3">
      <c r="A38" s="28" t="s">
        <v>14</v>
      </c>
      <c r="B38" s="28">
        <v>2024</v>
      </c>
      <c r="C38" s="28" t="s">
        <v>5</v>
      </c>
      <c r="D38" s="28" t="s">
        <v>4</v>
      </c>
      <c r="E38">
        <f>INDEX('Financials USA'!$E$7:$N$19,MATCH(_xlfn.CONCAT('Input Data'!D38,'Input Data'!C38),'Financials USA'!$A$7:$A$19,0),MATCH('Input Data'!B38,'Financials USA'!$E$1:$N$1,0))</f>
        <v>8880</v>
      </c>
      <c r="F38">
        <f>VLOOKUP(_xlfn.CONCAT(A38,B38,C38),'Gross Profit &amp; EBITDA'!$D$2:$F$61,2,FALSE)*E38</f>
        <v>4440</v>
      </c>
      <c r="G38">
        <f>VLOOKUP(_xlfn.CONCAT(A38,B38,C38),'Gross Profit &amp; EBITDA'!$D$2:$F$61,3,FALSE)*E38</f>
        <v>1776</v>
      </c>
      <c r="I38" t="s">
        <v>24</v>
      </c>
      <c r="J38" t="s">
        <v>26</v>
      </c>
      <c r="K38" t="s">
        <v>25</v>
      </c>
    </row>
    <row r="39" spans="1:11" x14ac:dyDescent="0.3">
      <c r="A39" s="28" t="s">
        <v>14</v>
      </c>
      <c r="B39" s="28">
        <v>2024</v>
      </c>
      <c r="C39" s="28" t="s">
        <v>5</v>
      </c>
      <c r="D39" s="28" t="s">
        <v>6</v>
      </c>
      <c r="E39">
        <f>INDEX('Financials USA'!$E$7:$N$19,MATCH(_xlfn.CONCAT('Input Data'!D39,'Input Data'!C39),'Financials USA'!$A$7:$A$19,0),MATCH('Input Data'!B39,'Financials USA'!$E$1:$N$1,0))</f>
        <v>13958</v>
      </c>
      <c r="F39">
        <f>VLOOKUP(_xlfn.CONCAT(A39,B39,C39),'Gross Profit &amp; EBITDA'!$D$2:$F$61,2,FALSE)*E39</f>
        <v>6979</v>
      </c>
      <c r="G39">
        <f>VLOOKUP(_xlfn.CONCAT(A39,B39,C39),'Gross Profit &amp; EBITDA'!$D$2:$F$61,3,FALSE)*E39</f>
        <v>2791.6000000000004</v>
      </c>
      <c r="I39" s="32">
        <v>3444804</v>
      </c>
      <c r="J39" s="32">
        <v>2075197.2000000009</v>
      </c>
      <c r="K39" s="32">
        <v>544175.79999999981</v>
      </c>
    </row>
    <row r="40" spans="1:11" x14ac:dyDescent="0.3">
      <c r="A40" s="28" t="s">
        <v>14</v>
      </c>
      <c r="B40" s="28">
        <v>2024</v>
      </c>
      <c r="C40" s="28" t="s">
        <v>8</v>
      </c>
      <c r="D40" s="28" t="s">
        <v>4</v>
      </c>
      <c r="E40">
        <f>INDEX('Financials USA'!$E$7:$N$19,MATCH(_xlfn.CONCAT('Input Data'!D40,'Input Data'!C40),'Financials USA'!$A$7:$A$19,0),MATCH('Input Data'!B40,'Financials USA'!$E$1:$N$1,0))</f>
        <v>53280</v>
      </c>
      <c r="F40">
        <f>VLOOKUP(_xlfn.CONCAT(A40,B40,C40),'Gross Profit &amp; EBITDA'!$D$2:$F$61,2,FALSE)*E40</f>
        <v>26640</v>
      </c>
      <c r="G40">
        <f>VLOOKUP(_xlfn.CONCAT(A40,B40,C40),'Gross Profit &amp; EBITDA'!$D$2:$F$61,3,FALSE)*E40</f>
        <v>5328</v>
      </c>
    </row>
    <row r="41" spans="1:11" x14ac:dyDescent="0.3">
      <c r="A41" s="28" t="s">
        <v>14</v>
      </c>
      <c r="B41" s="28">
        <v>2024</v>
      </c>
      <c r="C41" s="28" t="s">
        <v>8</v>
      </c>
      <c r="D41" s="28" t="s">
        <v>6</v>
      </c>
      <c r="E41">
        <f>INDEX('Financials USA'!$E$7:$N$19,MATCH(_xlfn.CONCAT('Input Data'!D41,'Input Data'!C41),'Financials USA'!$A$7:$A$19,0),MATCH('Input Data'!B41,'Financials USA'!$E$1:$N$1,0))</f>
        <v>41874</v>
      </c>
      <c r="F41">
        <f>VLOOKUP(_xlfn.CONCAT(A41,B41,C41),'Gross Profit &amp; EBITDA'!$D$2:$F$61,2,FALSE)*E41</f>
        <v>20937</v>
      </c>
      <c r="G41">
        <f>VLOOKUP(_xlfn.CONCAT(A41,B41,C41),'Gross Profit &amp; EBITDA'!$D$2:$F$61,3,FALSE)*E41</f>
        <v>4187.4000000000005</v>
      </c>
      <c r="I41" t="s">
        <v>18</v>
      </c>
      <c r="J41">
        <f>GETPIVOTDATA("Sum of Revenue",$I$38)</f>
        <v>3444804</v>
      </c>
    </row>
    <row r="42" spans="1:11" x14ac:dyDescent="0.3">
      <c r="A42" s="28" t="s">
        <v>14</v>
      </c>
      <c r="B42" s="28">
        <v>2024</v>
      </c>
      <c r="C42" s="28" t="s">
        <v>9</v>
      </c>
      <c r="D42" s="28" t="s">
        <v>4</v>
      </c>
      <c r="E42">
        <f>INDEX('Financials USA'!$E$7:$N$19,MATCH(_xlfn.CONCAT('Input Data'!D42,'Input Data'!C42),'Financials USA'!$A$7:$A$19,0),MATCH('Input Data'!B42,'Financials USA'!$E$1:$N$1,0))</f>
        <v>9666</v>
      </c>
      <c r="F42">
        <f>VLOOKUP(_xlfn.CONCAT(A42,B42,C42),'Gross Profit &amp; EBITDA'!$D$2:$F$61,2,FALSE)*E42</f>
        <v>6766.2000000000007</v>
      </c>
      <c r="G42">
        <f>VLOOKUP(_xlfn.CONCAT(A42,B42,C42),'Gross Profit &amp; EBITDA'!$D$2:$F$61,3,FALSE)*E42</f>
        <v>966.6</v>
      </c>
      <c r="I42" t="s">
        <v>27</v>
      </c>
      <c r="J42">
        <f>J43-J41</f>
        <v>-1369606.7999999991</v>
      </c>
    </row>
    <row r="43" spans="1:11" x14ac:dyDescent="0.3">
      <c r="A43" s="28" t="s">
        <v>14</v>
      </c>
      <c r="B43" s="28">
        <v>2024</v>
      </c>
      <c r="C43" s="28" t="s">
        <v>9</v>
      </c>
      <c r="D43" s="28" t="s">
        <v>6</v>
      </c>
      <c r="E43">
        <f>INDEX('Financials USA'!$E$7:$N$19,MATCH(_xlfn.CONCAT('Input Data'!D43,'Input Data'!C43),'Financials USA'!$A$7:$A$19,0),MATCH('Input Data'!B43,'Financials USA'!$E$1:$N$1,0))</f>
        <v>6528</v>
      </c>
      <c r="F43">
        <f>VLOOKUP(_xlfn.CONCAT(A43,B43,C43),'Gross Profit &amp; EBITDA'!$D$2:$F$61,2,FALSE)*E43</f>
        <v>4569.6000000000004</v>
      </c>
      <c r="G43">
        <f>VLOOKUP(_xlfn.CONCAT(A43,B43,C43),'Gross Profit &amp; EBITDA'!$D$2:$F$61,3,FALSE)*E43</f>
        <v>652.80000000000007</v>
      </c>
      <c r="I43" t="s">
        <v>19</v>
      </c>
      <c r="J43">
        <f>GETPIVOTDATA("Sum of Gross Profit",$I$38)</f>
        <v>2075197.2000000009</v>
      </c>
    </row>
    <row r="44" spans="1:11" x14ac:dyDescent="0.3">
      <c r="A44" s="28" t="s">
        <v>14</v>
      </c>
      <c r="B44" s="28">
        <v>2025</v>
      </c>
      <c r="C44" s="28" t="s">
        <v>5</v>
      </c>
      <c r="D44" s="28" t="s">
        <v>4</v>
      </c>
      <c r="E44">
        <f>INDEX('Financials USA'!$E$7:$N$19,MATCH(_xlfn.CONCAT('Input Data'!D44,'Input Data'!C44),'Financials USA'!$A$7:$A$19,0),MATCH('Input Data'!B44,'Financials USA'!$E$1:$N$1,0))</f>
        <v>4901</v>
      </c>
      <c r="F44">
        <f>VLOOKUP(_xlfn.CONCAT(A44,B44,C44),'Gross Profit &amp; EBITDA'!$D$2:$F$61,2,FALSE)*E44</f>
        <v>2940.6000000000004</v>
      </c>
      <c r="G44">
        <f>VLOOKUP(_xlfn.CONCAT(A44,B44,C44),'Gross Profit &amp; EBITDA'!$D$2:$F$61,3,FALSE)*E44</f>
        <v>490.1</v>
      </c>
      <c r="I44" t="s">
        <v>28</v>
      </c>
      <c r="J44">
        <f>J45-J43</f>
        <v>-1531021.4000000011</v>
      </c>
    </row>
    <row r="45" spans="1:11" x14ac:dyDescent="0.3">
      <c r="A45" s="28" t="s">
        <v>14</v>
      </c>
      <c r="B45" s="28">
        <v>2025</v>
      </c>
      <c r="C45" s="28" t="s">
        <v>5</v>
      </c>
      <c r="D45" s="28" t="s">
        <v>6</v>
      </c>
      <c r="E45">
        <f>INDEX('Financials USA'!$E$7:$N$19,MATCH(_xlfn.CONCAT('Input Data'!D45,'Input Data'!C45),'Financials USA'!$A$7:$A$19,0),MATCH('Input Data'!B45,'Financials USA'!$E$1:$N$1,0))</f>
        <v>26427</v>
      </c>
      <c r="F45">
        <f>VLOOKUP(_xlfn.CONCAT(A45,B45,C45),'Gross Profit &amp; EBITDA'!$D$2:$F$61,2,FALSE)*E45</f>
        <v>15856.200000000003</v>
      </c>
      <c r="G45">
        <f>VLOOKUP(_xlfn.CONCAT(A45,B45,C45),'Gross Profit &amp; EBITDA'!$D$2:$F$61,3,FALSE)*E45</f>
        <v>2642.7000000000003</v>
      </c>
      <c r="I45" t="s">
        <v>20</v>
      </c>
      <c r="J45">
        <f>GETPIVOTDATA("Sum of EBITDA",$I$38)</f>
        <v>544175.79999999981</v>
      </c>
    </row>
    <row r="46" spans="1:11" x14ac:dyDescent="0.3">
      <c r="A46" s="28" t="s">
        <v>14</v>
      </c>
      <c r="B46" s="28">
        <v>2025</v>
      </c>
      <c r="C46" s="28" t="s">
        <v>8</v>
      </c>
      <c r="D46" s="28" t="s">
        <v>4</v>
      </c>
      <c r="E46">
        <f>INDEX('Financials USA'!$E$7:$N$19,MATCH(_xlfn.CONCAT('Input Data'!D46,'Input Data'!C46),'Financials USA'!$A$7:$A$19,0),MATCH('Input Data'!B46,'Financials USA'!$E$1:$N$1,0))</f>
        <v>14703</v>
      </c>
      <c r="F46">
        <f>VLOOKUP(_xlfn.CONCAT(A46,B46,C46),'Gross Profit &amp; EBITDA'!$D$2:$F$61,2,FALSE)*E46</f>
        <v>10292.1</v>
      </c>
      <c r="G46">
        <f>VLOOKUP(_xlfn.CONCAT(A46,B46,C46),'Gross Profit &amp; EBITDA'!$D$2:$F$61,3,FALSE)*E46</f>
        <v>2940.6000000000004</v>
      </c>
    </row>
    <row r="47" spans="1:11" x14ac:dyDescent="0.3">
      <c r="A47" s="28" t="s">
        <v>14</v>
      </c>
      <c r="B47" s="28">
        <v>2025</v>
      </c>
      <c r="C47" s="28" t="s">
        <v>8</v>
      </c>
      <c r="D47" s="28" t="s">
        <v>6</v>
      </c>
      <c r="E47">
        <f>INDEX('Financials USA'!$E$7:$N$19,MATCH(_xlfn.CONCAT('Input Data'!D47,'Input Data'!C47),'Financials USA'!$A$7:$A$19,0),MATCH('Input Data'!B47,'Financials USA'!$E$1:$N$1,0))</f>
        <v>52854</v>
      </c>
      <c r="F47">
        <f>VLOOKUP(_xlfn.CONCAT(A47,B47,C47),'Gross Profit &amp; EBITDA'!$D$2:$F$61,2,FALSE)*E47</f>
        <v>36997.800000000003</v>
      </c>
      <c r="G47">
        <f>VLOOKUP(_xlfn.CONCAT(A47,B47,C47),'Gross Profit &amp; EBITDA'!$D$2:$F$61,3,FALSE)*E47</f>
        <v>10570.800000000001</v>
      </c>
    </row>
    <row r="48" spans="1:11" x14ac:dyDescent="0.3">
      <c r="A48" s="28" t="s">
        <v>14</v>
      </c>
      <c r="B48" s="28">
        <v>2025</v>
      </c>
      <c r="C48" s="28" t="s">
        <v>9</v>
      </c>
      <c r="D48" s="28" t="s">
        <v>4</v>
      </c>
      <c r="E48">
        <f>INDEX('Financials USA'!$E$7:$N$19,MATCH(_xlfn.CONCAT('Input Data'!D48,'Input Data'!C48),'Financials USA'!$A$7:$A$19,0),MATCH('Input Data'!B48,'Financials USA'!$E$1:$N$1,0))</f>
        <v>1365</v>
      </c>
      <c r="F48">
        <f>VLOOKUP(_xlfn.CONCAT(A48,B48,C48),'Gross Profit &amp; EBITDA'!$D$2:$F$61,2,FALSE)*E48</f>
        <v>682.5</v>
      </c>
      <c r="G48">
        <f>VLOOKUP(_xlfn.CONCAT(A48,B48,C48),'Gross Profit &amp; EBITDA'!$D$2:$F$61,3,FALSE)*E48</f>
        <v>273</v>
      </c>
    </row>
    <row r="49" spans="1:10" x14ac:dyDescent="0.3">
      <c r="A49" s="28" t="s">
        <v>14</v>
      </c>
      <c r="B49" s="28">
        <v>2025</v>
      </c>
      <c r="C49" s="28" t="s">
        <v>9</v>
      </c>
      <c r="D49" s="28" t="s">
        <v>6</v>
      </c>
      <c r="E49">
        <f>INDEX('Financials USA'!$E$7:$N$19,MATCH(_xlfn.CONCAT('Input Data'!D49,'Input Data'!C49),'Financials USA'!$A$7:$A$19,0),MATCH('Input Data'!B49,'Financials USA'!$E$1:$N$1,0))</f>
        <v>68814</v>
      </c>
      <c r="F49">
        <f>VLOOKUP(_xlfn.CONCAT(A49,B49,C49),'Gross Profit &amp; EBITDA'!$D$2:$F$61,2,FALSE)*E49</f>
        <v>34407</v>
      </c>
      <c r="G49">
        <f>VLOOKUP(_xlfn.CONCAT(A49,B49,C49),'Gross Profit &amp; EBITDA'!$D$2:$F$61,3,FALSE)*E49</f>
        <v>13762.800000000001</v>
      </c>
    </row>
    <row r="50" spans="1:10" x14ac:dyDescent="0.3">
      <c r="A50" s="28" t="s">
        <v>14</v>
      </c>
      <c r="B50" s="28">
        <v>2026</v>
      </c>
      <c r="C50" s="28" t="s">
        <v>5</v>
      </c>
      <c r="D50" s="28" t="s">
        <v>4</v>
      </c>
      <c r="E50">
        <f>INDEX('Financials USA'!$E$7:$N$19,MATCH(_xlfn.CONCAT('Input Data'!D50,'Input Data'!C50),'Financials USA'!$A$7:$A$19,0),MATCH('Input Data'!B50,'Financials USA'!$E$1:$N$1,0))</f>
        <v>3828</v>
      </c>
      <c r="F50">
        <f>VLOOKUP(_xlfn.CONCAT(A50,B50,C50),'Gross Profit &amp; EBITDA'!$D$2:$F$61,2,FALSE)*E50</f>
        <v>1914</v>
      </c>
      <c r="G50">
        <f>VLOOKUP(_xlfn.CONCAT(A50,B50,C50),'Gross Profit &amp; EBITDA'!$D$2:$F$61,3,FALSE)*E50</f>
        <v>765.6</v>
      </c>
    </row>
    <row r="51" spans="1:10" x14ac:dyDescent="0.3">
      <c r="A51" s="28" t="s">
        <v>14</v>
      </c>
      <c r="B51" s="28">
        <v>2026</v>
      </c>
      <c r="C51" s="28" t="s">
        <v>5</v>
      </c>
      <c r="D51" s="28" t="s">
        <v>6</v>
      </c>
      <c r="E51">
        <f>INDEX('Financials USA'!$E$7:$N$19,MATCH(_xlfn.CONCAT('Input Data'!D51,'Input Data'!C51),'Financials USA'!$A$7:$A$19,0),MATCH('Input Data'!B51,'Financials USA'!$E$1:$N$1,0))</f>
        <v>24219</v>
      </c>
      <c r="F51">
        <f>VLOOKUP(_xlfn.CONCAT(A51,B51,C51),'Gross Profit &amp; EBITDA'!$D$2:$F$61,2,FALSE)*E51</f>
        <v>12109.5</v>
      </c>
      <c r="G51">
        <f>VLOOKUP(_xlfn.CONCAT(A51,B51,C51),'Gross Profit &amp; EBITDA'!$D$2:$F$61,3,FALSE)*E51</f>
        <v>4843.8</v>
      </c>
    </row>
    <row r="52" spans="1:10" x14ac:dyDescent="0.3">
      <c r="A52" s="28" t="s">
        <v>14</v>
      </c>
      <c r="B52" s="28">
        <v>2026</v>
      </c>
      <c r="C52" s="28" t="s">
        <v>8</v>
      </c>
      <c r="D52" s="28" t="s">
        <v>4</v>
      </c>
      <c r="E52">
        <f>INDEX('Financials USA'!$E$7:$N$19,MATCH(_xlfn.CONCAT('Input Data'!D52,'Input Data'!C52),'Financials USA'!$A$7:$A$19,0),MATCH('Input Data'!B52,'Financials USA'!$E$1:$N$1,0))</f>
        <v>3828</v>
      </c>
      <c r="F52">
        <f>VLOOKUP(_xlfn.CONCAT(A52,B52,C52),'Gross Profit &amp; EBITDA'!$D$2:$F$61,2,FALSE)*E52</f>
        <v>2296.8000000000002</v>
      </c>
      <c r="G52">
        <f>VLOOKUP(_xlfn.CONCAT(A52,B52,C52),'Gross Profit &amp; EBITDA'!$D$2:$F$61,3,FALSE)*E52</f>
        <v>765.6</v>
      </c>
    </row>
    <row r="53" spans="1:10" x14ac:dyDescent="0.3">
      <c r="A53" s="28" t="s">
        <v>14</v>
      </c>
      <c r="B53" s="28">
        <v>2026</v>
      </c>
      <c r="C53" s="28" t="s">
        <v>8</v>
      </c>
      <c r="D53" s="28" t="s">
        <v>6</v>
      </c>
      <c r="E53">
        <f>INDEX('Financials USA'!$E$7:$N$19,MATCH(_xlfn.CONCAT('Input Data'!D53,'Input Data'!C53),'Financials USA'!$A$7:$A$19,0),MATCH('Input Data'!B53,'Financials USA'!$E$1:$N$1,0))</f>
        <v>96876</v>
      </c>
      <c r="F53">
        <f>VLOOKUP(_xlfn.CONCAT(A53,B53,C53),'Gross Profit &amp; EBITDA'!$D$2:$F$61,2,FALSE)*E53</f>
        <v>58125.600000000006</v>
      </c>
      <c r="G53">
        <f>VLOOKUP(_xlfn.CONCAT(A53,B53,C53),'Gross Profit &amp; EBITDA'!$D$2:$F$61,3,FALSE)*E53</f>
        <v>19375.2</v>
      </c>
    </row>
    <row r="54" spans="1:10" x14ac:dyDescent="0.3">
      <c r="A54" s="28" t="s">
        <v>14</v>
      </c>
      <c r="B54" s="28">
        <v>2026</v>
      </c>
      <c r="C54" s="28" t="s">
        <v>9</v>
      </c>
      <c r="D54" s="28" t="s">
        <v>4</v>
      </c>
      <c r="E54">
        <f>INDEX('Financials USA'!$E$7:$N$19,MATCH(_xlfn.CONCAT('Input Data'!D54,'Input Data'!C54),'Financials USA'!$A$7:$A$19,0),MATCH('Input Data'!B54,'Financials USA'!$E$1:$N$1,0))</f>
        <v>3022</v>
      </c>
      <c r="F54">
        <f>VLOOKUP(_xlfn.CONCAT(A54,B54,C54),'Gross Profit &amp; EBITDA'!$D$2:$F$61,2,FALSE)*E54</f>
        <v>1511</v>
      </c>
      <c r="G54">
        <f>VLOOKUP(_xlfn.CONCAT(A54,B54,C54),'Gross Profit &amp; EBITDA'!$D$2:$F$61,3,FALSE)*E54</f>
        <v>604.4</v>
      </c>
    </row>
    <row r="55" spans="1:10" x14ac:dyDescent="0.3">
      <c r="A55" s="28" t="s">
        <v>14</v>
      </c>
      <c r="B55" s="28">
        <v>2026</v>
      </c>
      <c r="C55" s="28" t="s">
        <v>9</v>
      </c>
      <c r="D55" s="28" t="s">
        <v>6</v>
      </c>
      <c r="E55">
        <f>INDEX('Financials USA'!$E$7:$N$19,MATCH(_xlfn.CONCAT('Input Data'!D55,'Input Data'!C55),'Financials USA'!$A$7:$A$19,0),MATCH('Input Data'!B55,'Financials USA'!$E$1:$N$1,0))</f>
        <v>32694</v>
      </c>
      <c r="F55">
        <f>VLOOKUP(_xlfn.CONCAT(A55,B55,C55),'Gross Profit &amp; EBITDA'!$D$2:$F$61,2,FALSE)*E55</f>
        <v>16347</v>
      </c>
      <c r="G55">
        <f>VLOOKUP(_xlfn.CONCAT(A55,B55,C55),'Gross Profit &amp; EBITDA'!$D$2:$F$61,3,FALSE)*E55</f>
        <v>6538.8</v>
      </c>
      <c r="I55" s="30" t="s">
        <v>22</v>
      </c>
      <c r="J55" t="s">
        <v>24</v>
      </c>
    </row>
    <row r="56" spans="1:10" x14ac:dyDescent="0.3">
      <c r="A56" s="28" t="s">
        <v>14</v>
      </c>
      <c r="B56" s="28">
        <v>2027</v>
      </c>
      <c r="C56" s="28" t="s">
        <v>5</v>
      </c>
      <c r="D56" s="28" t="s">
        <v>4</v>
      </c>
      <c r="E56">
        <f>INDEX('Financials USA'!$E$7:$N$19,MATCH(_xlfn.CONCAT('Input Data'!D56,'Input Data'!C56),'Financials USA'!$A$7:$A$19,0),MATCH('Input Data'!B56,'Financials USA'!$E$1:$N$1,0))</f>
        <v>5424</v>
      </c>
      <c r="F56">
        <f>VLOOKUP(_xlfn.CONCAT(A56,B56,C56),'Gross Profit &amp; EBITDA'!$D$2:$F$61,2,FALSE)*E56</f>
        <v>2712</v>
      </c>
      <c r="G56">
        <f>VLOOKUP(_xlfn.CONCAT(A56,B56,C56),'Gross Profit &amp; EBITDA'!$D$2:$F$61,3,FALSE)*E56</f>
        <v>542.4</v>
      </c>
      <c r="I56" s="31" t="s">
        <v>15</v>
      </c>
      <c r="J56">
        <v>467756</v>
      </c>
    </row>
    <row r="57" spans="1:10" x14ac:dyDescent="0.3">
      <c r="A57" s="28" t="s">
        <v>14</v>
      </c>
      <c r="B57" s="28">
        <v>2027</v>
      </c>
      <c r="C57" s="28" t="s">
        <v>5</v>
      </c>
      <c r="D57" s="28" t="s">
        <v>6</v>
      </c>
      <c r="E57">
        <f>INDEX('Financials USA'!$E$7:$N$19,MATCH(_xlfn.CONCAT('Input Data'!D57,'Input Data'!C57),'Financials USA'!$A$7:$A$19,0),MATCH('Input Data'!B57,'Financials USA'!$E$1:$N$1,0))</f>
        <v>23442</v>
      </c>
      <c r="F57">
        <f>VLOOKUP(_xlfn.CONCAT(A57,B57,C57),'Gross Profit &amp; EBITDA'!$D$2:$F$61,2,FALSE)*E57</f>
        <v>11721</v>
      </c>
      <c r="G57">
        <f>VLOOKUP(_xlfn.CONCAT(A57,B57,C57),'Gross Profit &amp; EBITDA'!$D$2:$F$61,3,FALSE)*E57</f>
        <v>2344.2000000000003</v>
      </c>
      <c r="I57" s="31" t="s">
        <v>14</v>
      </c>
      <c r="J57">
        <v>2977048</v>
      </c>
    </row>
    <row r="58" spans="1:10" x14ac:dyDescent="0.3">
      <c r="A58" s="28" t="s">
        <v>14</v>
      </c>
      <c r="B58" s="28">
        <v>2027</v>
      </c>
      <c r="C58" s="28" t="s">
        <v>8</v>
      </c>
      <c r="D58" s="28" t="s">
        <v>4</v>
      </c>
      <c r="E58">
        <f>INDEX('Financials USA'!$E$7:$N$19,MATCH(_xlfn.CONCAT('Input Data'!D58,'Input Data'!C58),'Financials USA'!$A$7:$A$19,0),MATCH('Input Data'!B58,'Financials USA'!$E$1:$N$1,0))</f>
        <v>5424</v>
      </c>
      <c r="F58">
        <f>VLOOKUP(_xlfn.CONCAT(A58,B58,C58),'Gross Profit &amp; EBITDA'!$D$2:$F$61,2,FALSE)*E58</f>
        <v>2712</v>
      </c>
      <c r="G58">
        <f>VLOOKUP(_xlfn.CONCAT(A58,B58,C58),'Gross Profit &amp; EBITDA'!$D$2:$F$61,3,FALSE)*E58</f>
        <v>1084.8</v>
      </c>
      <c r="I58" s="31" t="s">
        <v>23</v>
      </c>
      <c r="J58">
        <v>3444804</v>
      </c>
    </row>
    <row r="59" spans="1:10" x14ac:dyDescent="0.3">
      <c r="A59" s="28" t="s">
        <v>14</v>
      </c>
      <c r="B59" s="28">
        <v>2027</v>
      </c>
      <c r="C59" s="28" t="s">
        <v>8</v>
      </c>
      <c r="D59" s="28" t="s">
        <v>6</v>
      </c>
      <c r="E59">
        <f>INDEX('Financials USA'!$E$7:$N$19,MATCH(_xlfn.CONCAT('Input Data'!D59,'Input Data'!C59),'Financials USA'!$A$7:$A$19,0),MATCH('Input Data'!B59,'Financials USA'!$E$1:$N$1,0))</f>
        <v>140652</v>
      </c>
      <c r="F59">
        <f>VLOOKUP(_xlfn.CONCAT(A59,B59,C59),'Gross Profit &amp; EBITDA'!$D$2:$F$61,2,FALSE)*E59</f>
        <v>70326</v>
      </c>
      <c r="G59">
        <f>VLOOKUP(_xlfn.CONCAT(A59,B59,C59),'Gross Profit &amp; EBITDA'!$D$2:$F$61,3,FALSE)*E59</f>
        <v>28130.400000000001</v>
      </c>
    </row>
    <row r="60" spans="1:10" x14ac:dyDescent="0.3">
      <c r="A60" s="28" t="s">
        <v>14</v>
      </c>
      <c r="B60" s="28">
        <v>2027</v>
      </c>
      <c r="C60" s="28" t="s">
        <v>9</v>
      </c>
      <c r="D60" s="28" t="s">
        <v>4</v>
      </c>
      <c r="E60">
        <f>INDEX('Financials USA'!$E$7:$N$19,MATCH(_xlfn.CONCAT('Input Data'!D60,'Input Data'!C60),'Financials USA'!$A$7:$A$19,0),MATCH('Input Data'!B60,'Financials USA'!$E$1:$N$1,0))</f>
        <v>15468</v>
      </c>
      <c r="F60">
        <f>VLOOKUP(_xlfn.CONCAT(A60,B60,C60),'Gross Profit &amp; EBITDA'!$D$2:$F$61,2,FALSE)*E60</f>
        <v>9280.8000000000011</v>
      </c>
      <c r="G60">
        <f>VLOOKUP(_xlfn.CONCAT(A60,B60,C60),'Gross Profit &amp; EBITDA'!$D$2:$F$61,3,FALSE)*E60</f>
        <v>3093.6000000000004</v>
      </c>
      <c r="I60" s="31" t="s">
        <v>11</v>
      </c>
      <c r="J60" t="s">
        <v>18</v>
      </c>
    </row>
    <row r="61" spans="1:10" x14ac:dyDescent="0.3">
      <c r="A61" s="28" t="s">
        <v>14</v>
      </c>
      <c r="B61" s="28">
        <v>2027</v>
      </c>
      <c r="C61" s="28" t="s">
        <v>9</v>
      </c>
      <c r="D61" s="28" t="s">
        <v>6</v>
      </c>
      <c r="E61">
        <f>INDEX('Financials USA'!$E$7:$N$19,MATCH(_xlfn.CONCAT('Input Data'!D61,'Input Data'!C61),'Financials USA'!$A$7:$A$19,0),MATCH('Input Data'!B61,'Financials USA'!$E$1:$N$1,0))</f>
        <v>9172</v>
      </c>
      <c r="F61">
        <f>VLOOKUP(_xlfn.CONCAT(A61,B61,C61),'Gross Profit &amp; EBITDA'!$D$2:$F$61,2,FALSE)*E61</f>
        <v>5503.2000000000007</v>
      </c>
      <c r="G61">
        <f>VLOOKUP(_xlfn.CONCAT(A61,B61,C61),'Gross Profit &amp; EBITDA'!$D$2:$F$61,3,FALSE)*E61</f>
        <v>1834.4</v>
      </c>
      <c r="I61" s="31" t="s">
        <v>15</v>
      </c>
      <c r="J61">
        <f>GETPIVOTDATA("Revenue",$I$55,"Country","Canada")</f>
        <v>467756</v>
      </c>
    </row>
    <row r="62" spans="1:10" x14ac:dyDescent="0.3">
      <c r="A62" s="28" t="s">
        <v>14</v>
      </c>
      <c r="B62" s="28">
        <v>2018</v>
      </c>
      <c r="C62" s="28" t="s">
        <v>5</v>
      </c>
      <c r="D62" s="28" t="s">
        <v>4</v>
      </c>
      <c r="E62">
        <f>INDEX('Financials USA'!$E$7:$N$19,MATCH(_xlfn.CONCAT('Input Data'!D62,'Input Data'!C62),'Financials USA'!$A$7:$A$19,0),MATCH('Input Data'!B62,'Financials USA'!$E$1:$N$1,0))</f>
        <v>1869</v>
      </c>
      <c r="F62">
        <f>VLOOKUP(_xlfn.CONCAT(A62,B62,C62),'Gross Profit &amp; EBITDA'!$D$2:$F$61,2,FALSE)*E62</f>
        <v>934.5</v>
      </c>
      <c r="G62">
        <f>VLOOKUP(_xlfn.CONCAT(A62,B62,C62),'Gross Profit &amp; EBITDA'!$D$2:$F$61,3,FALSE)*E62</f>
        <v>373.8</v>
      </c>
      <c r="I62" s="31" t="s">
        <v>14</v>
      </c>
      <c r="J62">
        <f>GETPIVOTDATA("Revenue",$I$55,"Country","USA")</f>
        <v>2977048</v>
      </c>
    </row>
    <row r="63" spans="1:10" x14ac:dyDescent="0.3">
      <c r="A63" s="28" t="s">
        <v>14</v>
      </c>
      <c r="B63" s="28">
        <v>2018</v>
      </c>
      <c r="C63" s="28" t="s">
        <v>5</v>
      </c>
      <c r="D63" s="28" t="s">
        <v>6</v>
      </c>
      <c r="E63">
        <f>INDEX('Financials USA'!$E$7:$N$19,MATCH(_xlfn.CONCAT('Input Data'!D63,'Input Data'!C63),'Financials USA'!$A$7:$A$19,0),MATCH('Input Data'!B63,'Financials USA'!$E$1:$N$1,0))</f>
        <v>23961</v>
      </c>
      <c r="F63">
        <f>VLOOKUP(_xlfn.CONCAT(A63,B63,C63),'Gross Profit &amp; EBITDA'!$D$2:$F$61,2,FALSE)*E63</f>
        <v>11980.5</v>
      </c>
      <c r="G63">
        <f>VLOOKUP(_xlfn.CONCAT(A63,B63,C63),'Gross Profit &amp; EBITDA'!$D$2:$F$61,3,FALSE)*E63</f>
        <v>4792.2</v>
      </c>
    </row>
    <row r="64" spans="1:10" x14ac:dyDescent="0.3">
      <c r="A64" s="28" t="s">
        <v>14</v>
      </c>
      <c r="B64" s="28">
        <v>2018</v>
      </c>
      <c r="C64" s="28" t="s">
        <v>8</v>
      </c>
      <c r="D64" s="28" t="s">
        <v>4</v>
      </c>
      <c r="E64">
        <f>INDEX('Financials USA'!$E$7:$N$19,MATCH(_xlfn.CONCAT('Input Data'!D64,'Input Data'!C64),'Financials USA'!$A$7:$A$19,0),MATCH('Input Data'!B64,'Financials USA'!$E$1:$N$1,0))</f>
        <v>5607</v>
      </c>
      <c r="F64">
        <f>VLOOKUP(_xlfn.CONCAT(A64,B64,C64),'Gross Profit &amp; EBITDA'!$D$2:$F$61,2,FALSE)*E64</f>
        <v>3924.9000000000005</v>
      </c>
      <c r="G64">
        <f>VLOOKUP(_xlfn.CONCAT(A64,B64,C64),'Gross Profit &amp; EBITDA'!$D$2:$F$61,3,FALSE)*E64</f>
        <v>1121.4000000000001</v>
      </c>
    </row>
    <row r="65" spans="1:13" x14ac:dyDescent="0.3">
      <c r="A65" s="28" t="s">
        <v>14</v>
      </c>
      <c r="B65" s="28">
        <v>2018</v>
      </c>
      <c r="C65" s="28" t="s">
        <v>8</v>
      </c>
      <c r="D65" s="28" t="s">
        <v>6</v>
      </c>
      <c r="E65">
        <f>INDEX('Financials USA'!$E$7:$N$19,MATCH(_xlfn.CONCAT('Input Data'!D65,'Input Data'!C65),'Financials USA'!$A$7:$A$19,0),MATCH('Input Data'!B65,'Financials USA'!$E$1:$N$1,0))</f>
        <v>23961</v>
      </c>
      <c r="F65">
        <f>VLOOKUP(_xlfn.CONCAT(A65,B65,C65),'Gross Profit &amp; EBITDA'!$D$2:$F$61,2,FALSE)*E65</f>
        <v>16772.7</v>
      </c>
      <c r="G65">
        <f>VLOOKUP(_xlfn.CONCAT(A65,B65,C65),'Gross Profit &amp; EBITDA'!$D$2:$F$61,3,FALSE)*E65</f>
        <v>4792.2</v>
      </c>
    </row>
    <row r="66" spans="1:13" x14ac:dyDescent="0.3">
      <c r="A66" s="28" t="s">
        <v>14</v>
      </c>
      <c r="B66" s="28">
        <v>2018</v>
      </c>
      <c r="C66" s="28" t="s">
        <v>9</v>
      </c>
      <c r="D66" s="28" t="s">
        <v>4</v>
      </c>
      <c r="E66">
        <f>INDEX('Financials USA'!$E$7:$N$19,MATCH(_xlfn.CONCAT('Input Data'!D66,'Input Data'!C66),'Financials USA'!$A$7:$A$19,0),MATCH('Input Data'!B66,'Financials USA'!$E$1:$N$1,0))</f>
        <v>684</v>
      </c>
      <c r="F66">
        <f>VLOOKUP(_xlfn.CONCAT(A66,B66,C66),'Gross Profit &amp; EBITDA'!$D$2:$F$61,2,FALSE)*E66</f>
        <v>478.80000000000007</v>
      </c>
      <c r="G66">
        <f>VLOOKUP(_xlfn.CONCAT(A66,B66,C66),'Gross Profit &amp; EBITDA'!$D$2:$F$61,3,FALSE)*E66</f>
        <v>68.400000000000006</v>
      </c>
    </row>
    <row r="67" spans="1:13" x14ac:dyDescent="0.3">
      <c r="A67" s="28" t="s">
        <v>14</v>
      </c>
      <c r="B67" s="28">
        <v>2018</v>
      </c>
      <c r="C67" s="28" t="s">
        <v>9</v>
      </c>
      <c r="D67" s="28" t="s">
        <v>6</v>
      </c>
      <c r="E67">
        <f>INDEX('Financials USA'!$E$7:$N$19,MATCH(_xlfn.CONCAT('Input Data'!D67,'Input Data'!C67),'Financials USA'!$A$7:$A$19,0),MATCH('Input Data'!B67,'Financials USA'!$E$1:$N$1,0))</f>
        <v>9098</v>
      </c>
      <c r="F67">
        <f>VLOOKUP(_xlfn.CONCAT(A67,B67,C67),'Gross Profit &amp; EBITDA'!$D$2:$F$61,2,FALSE)*E67</f>
        <v>6368.6</v>
      </c>
      <c r="G67">
        <f>VLOOKUP(_xlfn.CONCAT(A67,B67,C67),'Gross Profit &amp; EBITDA'!$D$2:$F$61,3,FALSE)*E67</f>
        <v>909.80000000000007</v>
      </c>
    </row>
    <row r="68" spans="1:13" x14ac:dyDescent="0.3">
      <c r="A68" s="28" t="s">
        <v>14</v>
      </c>
      <c r="B68" s="28">
        <v>2019</v>
      </c>
      <c r="C68" s="28" t="s">
        <v>5</v>
      </c>
      <c r="D68" s="28" t="s">
        <v>4</v>
      </c>
      <c r="E68">
        <f>INDEX('Financials USA'!$E$7:$N$19,MATCH(_xlfn.CONCAT('Input Data'!D68,'Input Data'!C68),'Financials USA'!$A$7:$A$19,0),MATCH('Input Data'!B68,'Financials USA'!$E$1:$N$1,0))</f>
        <v>3211</v>
      </c>
      <c r="F68">
        <f>VLOOKUP(_xlfn.CONCAT(A68,B68,C68),'Gross Profit &amp; EBITDA'!$D$2:$F$61,2,FALSE)*E68</f>
        <v>1605.5</v>
      </c>
      <c r="G68">
        <f>VLOOKUP(_xlfn.CONCAT(A68,B68,C68),'Gross Profit &amp; EBITDA'!$D$2:$F$61,3,FALSE)*E68</f>
        <v>321.10000000000002</v>
      </c>
      <c r="I68" s="30" t="s">
        <v>0</v>
      </c>
      <c r="J68" t="s">
        <v>35</v>
      </c>
      <c r="L68" s="30" t="s">
        <v>0</v>
      </c>
      <c r="M68" t="s">
        <v>35</v>
      </c>
    </row>
    <row r="69" spans="1:13" x14ac:dyDescent="0.3">
      <c r="A69" s="28" t="s">
        <v>14</v>
      </c>
      <c r="B69" s="28">
        <v>2019</v>
      </c>
      <c r="C69" s="28" t="s">
        <v>5</v>
      </c>
      <c r="D69" s="28" t="s">
        <v>6</v>
      </c>
      <c r="E69">
        <f>INDEX('Financials USA'!$E$7:$N$19,MATCH(_xlfn.CONCAT('Input Data'!D69,'Input Data'!C69),'Financials USA'!$A$7:$A$19,0),MATCH('Input Data'!B69,'Financials USA'!$E$1:$N$1,0))</f>
        <v>15956</v>
      </c>
      <c r="F69">
        <f>VLOOKUP(_xlfn.CONCAT(A69,B69,C69),'Gross Profit &amp; EBITDA'!$D$2:$F$61,2,FALSE)*E69</f>
        <v>7978</v>
      </c>
      <c r="G69">
        <f>VLOOKUP(_xlfn.CONCAT(A69,B69,C69),'Gross Profit &amp; EBITDA'!$D$2:$F$61,3,FALSE)*E69</f>
        <v>1595.6000000000001</v>
      </c>
      <c r="I69" s="30" t="s">
        <v>16</v>
      </c>
      <c r="J69" t="s">
        <v>35</v>
      </c>
      <c r="L69" s="30" t="s">
        <v>16</v>
      </c>
      <c r="M69" t="s">
        <v>35</v>
      </c>
    </row>
    <row r="70" spans="1:13" x14ac:dyDescent="0.3">
      <c r="A70" s="28" t="s">
        <v>14</v>
      </c>
      <c r="B70" s="28">
        <v>2019</v>
      </c>
      <c r="C70" s="28" t="s">
        <v>8</v>
      </c>
      <c r="D70" s="28" t="s">
        <v>4</v>
      </c>
      <c r="E70">
        <f>INDEX('Financials USA'!$E$7:$N$19,MATCH(_xlfn.CONCAT('Input Data'!D70,'Input Data'!C70),'Financials USA'!$A$7:$A$19,0),MATCH('Input Data'!B70,'Financials USA'!$E$1:$N$1,0))</f>
        <v>12844</v>
      </c>
      <c r="F70">
        <f>VLOOKUP(_xlfn.CONCAT(A70,B70,C70),'Gross Profit &amp; EBITDA'!$D$2:$F$61,2,FALSE)*E70</f>
        <v>6422</v>
      </c>
      <c r="G70">
        <f>VLOOKUP(_xlfn.CONCAT(A70,B70,C70),'Gross Profit &amp; EBITDA'!$D$2:$F$61,3,FALSE)*E70</f>
        <v>1284.4000000000001</v>
      </c>
      <c r="I70" s="30" t="s">
        <v>17</v>
      </c>
      <c r="J70" t="s">
        <v>6</v>
      </c>
      <c r="L70" s="30" t="s">
        <v>17</v>
      </c>
      <c r="M70" t="s">
        <v>6</v>
      </c>
    </row>
    <row r="71" spans="1:13" x14ac:dyDescent="0.3">
      <c r="A71" s="28" t="s">
        <v>14</v>
      </c>
      <c r="B71" s="28">
        <v>2019</v>
      </c>
      <c r="C71" s="28" t="s">
        <v>8</v>
      </c>
      <c r="D71" s="28" t="s">
        <v>6</v>
      </c>
      <c r="E71">
        <f>INDEX('Financials USA'!$E$7:$N$19,MATCH(_xlfn.CONCAT('Input Data'!D71,'Input Data'!C71),'Financials USA'!$A$7:$A$19,0),MATCH('Input Data'!B71,'Financials USA'!$E$1:$N$1,0))</f>
        <v>95736</v>
      </c>
      <c r="F71">
        <f>VLOOKUP(_xlfn.CONCAT(A71,B71,C71),'Gross Profit &amp; EBITDA'!$D$2:$F$61,2,FALSE)*E71</f>
        <v>47868</v>
      </c>
      <c r="G71">
        <f>VLOOKUP(_xlfn.CONCAT(A71,B71,C71),'Gross Profit &amp; EBITDA'!$D$2:$F$61,3,FALSE)*E71</f>
        <v>9573.6</v>
      </c>
    </row>
    <row r="72" spans="1:13" x14ac:dyDescent="0.3">
      <c r="A72" s="28" t="s">
        <v>14</v>
      </c>
      <c r="B72" s="28">
        <v>2019</v>
      </c>
      <c r="C72" s="28" t="s">
        <v>9</v>
      </c>
      <c r="D72" s="28" t="s">
        <v>4</v>
      </c>
      <c r="E72">
        <f>INDEX('Financials USA'!$E$7:$N$19,MATCH(_xlfn.CONCAT('Input Data'!D72,'Input Data'!C72),'Financials USA'!$A$7:$A$19,0),MATCH('Input Data'!B72,'Financials USA'!$E$1:$N$1,0))</f>
        <v>17682</v>
      </c>
      <c r="F72">
        <f>VLOOKUP(_xlfn.CONCAT(A72,B72,C72),'Gross Profit &amp; EBITDA'!$D$2:$F$61,2,FALSE)*E72</f>
        <v>10609.2</v>
      </c>
      <c r="G72">
        <f>VLOOKUP(_xlfn.CONCAT(A72,B72,C72),'Gross Profit &amp; EBITDA'!$D$2:$F$61,3,FALSE)*E72</f>
        <v>3536.4</v>
      </c>
      <c r="I72" s="30" t="s">
        <v>30</v>
      </c>
      <c r="L72" s="30" t="s">
        <v>30</v>
      </c>
    </row>
    <row r="73" spans="1:13" x14ac:dyDescent="0.3">
      <c r="A73" s="28" t="s">
        <v>14</v>
      </c>
      <c r="B73" s="28">
        <v>2019</v>
      </c>
      <c r="C73" s="28" t="s">
        <v>9</v>
      </c>
      <c r="D73" s="28" t="s">
        <v>6</v>
      </c>
      <c r="E73">
        <f>INDEX('Financials USA'!$E$7:$N$19,MATCH(_xlfn.CONCAT('Input Data'!D73,'Input Data'!C73),'Financials USA'!$A$7:$A$19,0),MATCH('Input Data'!B73,'Financials USA'!$E$1:$N$1,0))</f>
        <v>19683</v>
      </c>
      <c r="F73">
        <f>VLOOKUP(_xlfn.CONCAT(A73,B73,C73),'Gross Profit &amp; EBITDA'!$D$2:$F$61,2,FALSE)*E73</f>
        <v>11809.800000000001</v>
      </c>
      <c r="G73">
        <f>VLOOKUP(_xlfn.CONCAT(A73,B73,C73),'Gross Profit &amp; EBITDA'!$D$2:$F$61,3,FALSE)*E73</f>
        <v>3936.6000000000004</v>
      </c>
      <c r="I73" s="31" t="s">
        <v>26</v>
      </c>
      <c r="J73" s="32">
        <v>1612959.6999999997</v>
      </c>
      <c r="L73" s="31" t="s">
        <v>25</v>
      </c>
      <c r="M73" s="32">
        <v>434101.20000000007</v>
      </c>
    </row>
    <row r="74" spans="1:13" x14ac:dyDescent="0.3">
      <c r="A74" s="28" t="s">
        <v>14</v>
      </c>
      <c r="B74" s="28">
        <v>2020</v>
      </c>
      <c r="C74" s="28" t="s">
        <v>5</v>
      </c>
      <c r="D74" s="28" t="s">
        <v>4</v>
      </c>
      <c r="E74">
        <f>INDEX('Financials USA'!$E$7:$N$19,MATCH(_xlfn.CONCAT('Input Data'!D74,'Input Data'!C74),'Financials USA'!$A$7:$A$19,0),MATCH('Input Data'!B74,'Financials USA'!$E$1:$N$1,0))</f>
        <v>4810</v>
      </c>
      <c r="F74">
        <f>VLOOKUP(_xlfn.CONCAT(A74,B74,C74),'Gross Profit &amp; EBITDA'!$D$2:$F$61,2,FALSE)*E74</f>
        <v>3848</v>
      </c>
      <c r="G74">
        <f>VLOOKUP(_xlfn.CONCAT(A74,B74,C74),'Gross Profit &amp; EBITDA'!$D$2:$F$61,3,FALSE)*E74</f>
        <v>962</v>
      </c>
      <c r="I74" s="31" t="s">
        <v>29</v>
      </c>
      <c r="J74" s="32">
        <v>2255547.7999999998</v>
      </c>
      <c r="L74" s="31" t="s">
        <v>29</v>
      </c>
      <c r="M74" s="32">
        <v>2255547.7999999998</v>
      </c>
    </row>
    <row r="75" spans="1:13" x14ac:dyDescent="0.3">
      <c r="A75" s="28" t="s">
        <v>14</v>
      </c>
      <c r="B75" s="28">
        <v>2020</v>
      </c>
      <c r="C75" s="28" t="s">
        <v>5</v>
      </c>
      <c r="D75" s="28" t="s">
        <v>4</v>
      </c>
      <c r="E75">
        <f>INDEX('Financials USA'!$E$7:$N$19,MATCH(_xlfn.CONCAT('Input Data'!D75,'Input Data'!C75),'Financials USA'!$A$7:$A$19,0),MATCH('Input Data'!B75,'Financials USA'!$E$1:$N$1,0))</f>
        <v>4810</v>
      </c>
      <c r="F75">
        <f>VLOOKUP(_xlfn.CONCAT(A75,B75,C75),'Gross Profit &amp; EBITDA'!$D$2:$F$61,2,FALSE)*E75</f>
        <v>3848</v>
      </c>
      <c r="G75">
        <f>VLOOKUP(_xlfn.CONCAT(A75,B75,C75),'Gross Profit &amp; EBITDA'!$D$2:$F$61,3,FALSE)*E75</f>
        <v>962</v>
      </c>
    </row>
    <row r="76" spans="1:13" x14ac:dyDescent="0.3">
      <c r="A76" s="28" t="s">
        <v>14</v>
      </c>
      <c r="B76" s="28">
        <v>2020</v>
      </c>
      <c r="C76" s="28" t="s">
        <v>8</v>
      </c>
      <c r="D76" s="28" t="s">
        <v>6</v>
      </c>
      <c r="E76">
        <f>INDEX('Financials USA'!$E$7:$N$19,MATCH(_xlfn.CONCAT('Input Data'!D76,'Input Data'!C76),'Financials USA'!$A$7:$A$19,0),MATCH('Input Data'!B76,'Financials USA'!$E$1:$N$1,0))</f>
        <v>16090</v>
      </c>
      <c r="F76">
        <f>VLOOKUP(_xlfn.CONCAT(A76,B76,C76),'Gross Profit &amp; EBITDA'!$D$2:$F$61,2,FALSE)*E76</f>
        <v>8045</v>
      </c>
      <c r="G76">
        <f>VLOOKUP(_xlfn.CONCAT(A76,B76,C76),'Gross Profit &amp; EBITDA'!$D$2:$F$61,3,FALSE)*E76</f>
        <v>1609</v>
      </c>
      <c r="I76" t="s">
        <v>31</v>
      </c>
      <c r="J76" s="26">
        <f>GETPIVOTDATA("Sum of Gross Profit",$I$72)/(GETPIVOTDATA("Sum of Gross Profit",$I$72) + GETPIVOTDATA("Sum of Difference",$I$72))</f>
        <v>0.41694625123513396</v>
      </c>
      <c r="L76" t="s">
        <v>13</v>
      </c>
      <c r="M76" s="26">
        <f>GETPIVOTDATA("Sum of EBITDA",$L$72)/(GETPIVOTDATA("Sum of EBITDA",$L$72)+GETPIVOTDATA("Sum of Difference",$L$72))</f>
        <v>0.16139697038535514</v>
      </c>
    </row>
    <row r="77" spans="1:13" x14ac:dyDescent="0.3">
      <c r="A77" s="28" t="s">
        <v>14</v>
      </c>
      <c r="B77" s="28">
        <v>2020</v>
      </c>
      <c r="C77" s="28" t="s">
        <v>8</v>
      </c>
      <c r="D77" s="28" t="s">
        <v>4</v>
      </c>
      <c r="E77">
        <f>INDEX('Financials USA'!$E$7:$N$19,MATCH(_xlfn.CONCAT('Input Data'!D77,'Input Data'!C77),'Financials USA'!$A$7:$A$19,0),MATCH('Input Data'!B77,'Financials USA'!$E$1:$N$1,0))</f>
        <v>9620</v>
      </c>
      <c r="F77">
        <f>VLOOKUP(_xlfn.CONCAT(A77,B77,C77),'Gross Profit &amp; EBITDA'!$D$2:$F$61,2,FALSE)*E77</f>
        <v>4810</v>
      </c>
      <c r="G77">
        <f>VLOOKUP(_xlfn.CONCAT(A77,B77,C77),'Gross Profit &amp; EBITDA'!$D$2:$F$61,3,FALSE)*E77</f>
        <v>962</v>
      </c>
    </row>
    <row r="78" spans="1:13" x14ac:dyDescent="0.3">
      <c r="A78" s="28" t="s">
        <v>14</v>
      </c>
      <c r="B78" s="28">
        <v>2020</v>
      </c>
      <c r="C78" s="28" t="s">
        <v>9</v>
      </c>
      <c r="D78" s="28" t="s">
        <v>6</v>
      </c>
      <c r="E78">
        <f>INDEX('Financials USA'!$E$7:$N$19,MATCH(_xlfn.CONCAT('Input Data'!D78,'Input Data'!C78),'Financials USA'!$A$7:$A$19,0),MATCH('Input Data'!B78,'Financials USA'!$E$1:$N$1,0))</f>
        <v>55827</v>
      </c>
      <c r="F78">
        <f>VLOOKUP(_xlfn.CONCAT(A78,B78,C78),'Gross Profit &amp; EBITDA'!$D$2:$F$61,2,FALSE)*E78</f>
        <v>44661.600000000006</v>
      </c>
      <c r="G78">
        <f>VLOOKUP(_xlfn.CONCAT(A78,B78,C78),'Gross Profit &amp; EBITDA'!$D$2:$F$61,3,FALSE)*E78</f>
        <v>11165.400000000001</v>
      </c>
    </row>
    <row r="79" spans="1:13" x14ac:dyDescent="0.3">
      <c r="A79" s="28" t="s">
        <v>14</v>
      </c>
      <c r="B79" s="28">
        <v>2020</v>
      </c>
      <c r="C79" s="28" t="s">
        <v>9</v>
      </c>
      <c r="D79" s="28" t="s">
        <v>4</v>
      </c>
      <c r="E79">
        <f>INDEX('Financials USA'!$E$7:$N$19,MATCH(_xlfn.CONCAT('Input Data'!D79,'Input Data'!C79),'Financials USA'!$A$7:$A$19,0),MATCH('Input Data'!B79,'Financials USA'!$E$1:$N$1,0))</f>
        <v>10140</v>
      </c>
      <c r="F79">
        <f>VLOOKUP(_xlfn.CONCAT(A79,B79,C79),'Gross Profit &amp; EBITDA'!$D$2:$F$61,2,FALSE)*E79</f>
        <v>8112</v>
      </c>
      <c r="G79">
        <f>VLOOKUP(_xlfn.CONCAT(A79,B79,C79),'Gross Profit &amp; EBITDA'!$D$2:$F$61,3,FALSE)*E79</f>
        <v>2028</v>
      </c>
    </row>
    <row r="80" spans="1:13" x14ac:dyDescent="0.3">
      <c r="A80" s="28" t="s">
        <v>14</v>
      </c>
      <c r="B80" s="28">
        <v>2021</v>
      </c>
      <c r="C80" s="28" t="s">
        <v>5</v>
      </c>
      <c r="D80" s="28" t="s">
        <v>6</v>
      </c>
      <c r="E80">
        <f>INDEX('Financials USA'!$E$7:$N$19,MATCH(_xlfn.CONCAT('Input Data'!D80,'Input Data'!C80),'Financials USA'!$A$7:$A$19,0),MATCH('Input Data'!B80,'Financials USA'!$E$1:$N$1,0))</f>
        <v>15225</v>
      </c>
      <c r="F80">
        <f>VLOOKUP(_xlfn.CONCAT(A80,B80,C80),'Gross Profit &amp; EBITDA'!$D$2:$F$61,2,FALSE)*E80</f>
        <v>9135.0000000000018</v>
      </c>
      <c r="G80">
        <f>VLOOKUP(_xlfn.CONCAT(A80,B80,C80),'Gross Profit &amp; EBITDA'!$D$2:$F$61,3,FALSE)*E80</f>
        <v>3045</v>
      </c>
    </row>
    <row r="81" spans="1:7" x14ac:dyDescent="0.3">
      <c r="A81" s="28" t="s">
        <v>14</v>
      </c>
      <c r="B81" s="28">
        <v>2021</v>
      </c>
      <c r="C81" s="28" t="s">
        <v>5</v>
      </c>
      <c r="D81" s="28" t="s">
        <v>4</v>
      </c>
      <c r="E81">
        <f>INDEX('Financials USA'!$E$7:$N$19,MATCH(_xlfn.CONCAT('Input Data'!D81,'Input Data'!C81),'Financials USA'!$A$7:$A$19,0),MATCH('Input Data'!B81,'Financials USA'!$E$1:$N$1,0))</f>
        <v>7470</v>
      </c>
      <c r="F81">
        <f>VLOOKUP(_xlfn.CONCAT(A81,B81,C81),'Gross Profit &amp; EBITDA'!$D$2:$F$61,2,FALSE)*E81</f>
        <v>4482.0000000000009</v>
      </c>
      <c r="G81">
        <f>VLOOKUP(_xlfn.CONCAT(A81,B81,C81),'Gross Profit &amp; EBITDA'!$D$2:$F$61,3,FALSE)*E81</f>
        <v>1494</v>
      </c>
    </row>
    <row r="82" spans="1:7" x14ac:dyDescent="0.3">
      <c r="A82" s="28" t="s">
        <v>14</v>
      </c>
      <c r="B82" s="28">
        <v>2021</v>
      </c>
      <c r="C82" s="28" t="s">
        <v>8</v>
      </c>
      <c r="D82" s="28" t="s">
        <v>6</v>
      </c>
      <c r="E82">
        <f>INDEX('Financials USA'!$E$7:$N$19,MATCH(_xlfn.CONCAT('Input Data'!D82,'Input Data'!C82),'Financials USA'!$A$7:$A$19,0),MATCH('Input Data'!B82,'Financials USA'!$E$1:$N$1,0))</f>
        <v>91350</v>
      </c>
      <c r="F82">
        <f>VLOOKUP(_xlfn.CONCAT(A82,B82,C82),'Gross Profit &amp; EBITDA'!$D$2:$F$61,2,FALSE)*E82</f>
        <v>63945.000000000007</v>
      </c>
      <c r="G82">
        <f>VLOOKUP(_xlfn.CONCAT(A82,B82,C82),'Gross Profit &amp; EBITDA'!$D$2:$F$61,3,FALSE)*E82</f>
        <v>9135</v>
      </c>
    </row>
    <row r="83" spans="1:7" x14ac:dyDescent="0.3">
      <c r="A83" s="28" t="s">
        <v>14</v>
      </c>
      <c r="B83" s="28">
        <v>2021</v>
      </c>
      <c r="C83" s="28" t="s">
        <v>8</v>
      </c>
      <c r="D83" s="28" t="s">
        <v>4</v>
      </c>
      <c r="E83">
        <f>INDEX('Financials USA'!$E$7:$N$19,MATCH(_xlfn.CONCAT('Input Data'!D83,'Input Data'!C83),'Financials USA'!$A$7:$A$19,0),MATCH('Input Data'!B83,'Financials USA'!$E$1:$N$1,0))</f>
        <v>29880</v>
      </c>
      <c r="F83">
        <f>VLOOKUP(_xlfn.CONCAT(A83,B83,C83),'Gross Profit &amp; EBITDA'!$D$2:$F$61,2,FALSE)*E83</f>
        <v>20916.000000000004</v>
      </c>
      <c r="G83">
        <f>VLOOKUP(_xlfn.CONCAT(A83,B83,C83),'Gross Profit &amp; EBITDA'!$D$2:$F$61,3,FALSE)*E83</f>
        <v>2988</v>
      </c>
    </row>
    <row r="84" spans="1:7" x14ac:dyDescent="0.3">
      <c r="A84" s="28" t="s">
        <v>14</v>
      </c>
      <c r="B84" s="28">
        <v>2021</v>
      </c>
      <c r="C84" s="28" t="s">
        <v>9</v>
      </c>
      <c r="D84" s="28" t="s">
        <v>6</v>
      </c>
      <c r="E84">
        <f>INDEX('Financials USA'!$E$7:$N$19,MATCH(_xlfn.CONCAT('Input Data'!D84,'Input Data'!C84),'Financials USA'!$A$7:$A$19,0),MATCH('Input Data'!B84,'Financials USA'!$E$1:$N$1,0))</f>
        <v>6756</v>
      </c>
      <c r="F84">
        <f>VLOOKUP(_xlfn.CONCAT(A84,B84,C84),'Gross Profit &amp; EBITDA'!$D$2:$F$61,2,FALSE)*E84</f>
        <v>5404.8</v>
      </c>
      <c r="G84">
        <f>VLOOKUP(_xlfn.CONCAT(A84,B84,C84),'Gross Profit &amp; EBITDA'!$D$2:$F$61,3,FALSE)*E84</f>
        <v>1351.2</v>
      </c>
    </row>
    <row r="85" spans="1:7" x14ac:dyDescent="0.3">
      <c r="A85" s="28" t="s">
        <v>14</v>
      </c>
      <c r="B85" s="28">
        <v>2021</v>
      </c>
      <c r="C85" s="28" t="s">
        <v>9</v>
      </c>
      <c r="D85" s="28" t="s">
        <v>4</v>
      </c>
      <c r="E85">
        <f>INDEX('Financials USA'!$E$7:$N$19,MATCH(_xlfn.CONCAT('Input Data'!D85,'Input Data'!C85),'Financials USA'!$A$7:$A$19,0),MATCH('Input Data'!B85,'Financials USA'!$E$1:$N$1,0))</f>
        <v>3252</v>
      </c>
      <c r="F85">
        <f>VLOOKUP(_xlfn.CONCAT(A85,B85,C85),'Gross Profit &amp; EBITDA'!$D$2:$F$61,2,FALSE)*E85</f>
        <v>2601.6000000000004</v>
      </c>
      <c r="G85">
        <f>VLOOKUP(_xlfn.CONCAT(A85,B85,C85),'Gross Profit &amp; EBITDA'!$D$2:$F$61,3,FALSE)*E85</f>
        <v>650.40000000000009</v>
      </c>
    </row>
    <row r="86" spans="1:7" x14ac:dyDescent="0.3">
      <c r="A86" s="28" t="s">
        <v>14</v>
      </c>
      <c r="B86" s="28">
        <v>2022</v>
      </c>
      <c r="C86" s="28" t="s">
        <v>5</v>
      </c>
      <c r="D86" s="28" t="s">
        <v>6</v>
      </c>
      <c r="E86">
        <f>INDEX('Financials USA'!$E$7:$N$19,MATCH(_xlfn.CONCAT('Input Data'!D86,'Input Data'!C86),'Financials USA'!$A$7:$A$19,0),MATCH('Input Data'!B86,'Financials USA'!$E$1:$N$1,0))</f>
        <v>14484</v>
      </c>
      <c r="F86">
        <f>VLOOKUP(_xlfn.CONCAT(A86,B86,C86),'Gross Profit &amp; EBITDA'!$D$2:$F$61,2,FALSE)*E86</f>
        <v>10138.800000000001</v>
      </c>
      <c r="G86">
        <f>VLOOKUP(_xlfn.CONCAT(A86,B86,C86),'Gross Profit &amp; EBITDA'!$D$2:$F$61,3,FALSE)*E86</f>
        <v>1448.4</v>
      </c>
    </row>
    <row r="87" spans="1:7" x14ac:dyDescent="0.3">
      <c r="A87" s="28" t="s">
        <v>14</v>
      </c>
      <c r="B87" s="28">
        <v>2022</v>
      </c>
      <c r="C87" s="28" t="s">
        <v>5</v>
      </c>
      <c r="D87" s="28" t="s">
        <v>4</v>
      </c>
      <c r="E87">
        <f>INDEX('Financials USA'!$E$7:$N$19,MATCH(_xlfn.CONCAT('Input Data'!D87,'Input Data'!C87),'Financials USA'!$A$7:$A$19,0),MATCH('Input Data'!B87,'Financials USA'!$E$1:$N$1,0))</f>
        <v>11367</v>
      </c>
      <c r="F87">
        <f>VLOOKUP(_xlfn.CONCAT(A87,B87,C87),'Gross Profit &amp; EBITDA'!$D$2:$F$61,2,FALSE)*E87</f>
        <v>7956.9000000000005</v>
      </c>
      <c r="G87">
        <f>VLOOKUP(_xlfn.CONCAT(A87,B87,C87),'Gross Profit &amp; EBITDA'!$D$2:$F$61,3,FALSE)*E87</f>
        <v>1136.7</v>
      </c>
    </row>
    <row r="88" spans="1:7" x14ac:dyDescent="0.3">
      <c r="A88" s="28" t="s">
        <v>14</v>
      </c>
      <c r="B88" s="28">
        <v>2022</v>
      </c>
      <c r="C88" s="28" t="s">
        <v>8</v>
      </c>
      <c r="D88" s="28" t="s">
        <v>6</v>
      </c>
      <c r="E88">
        <f>INDEX('Financials USA'!$E$7:$N$19,MATCH(_xlfn.CONCAT('Input Data'!D88,'Input Data'!C88),'Financials USA'!$A$7:$A$19,0),MATCH('Input Data'!B88,'Financials USA'!$E$1:$N$1,0))</f>
        <v>86904</v>
      </c>
      <c r="F88">
        <f>VLOOKUP(_xlfn.CONCAT(A88,B88,C88),'Gross Profit &amp; EBITDA'!$D$2:$F$61,2,FALSE)*E88</f>
        <v>43452</v>
      </c>
      <c r="G88">
        <f>VLOOKUP(_xlfn.CONCAT(A88,B88,C88),'Gross Profit &amp; EBITDA'!$D$2:$F$61,3,FALSE)*E88</f>
        <v>8690.4</v>
      </c>
    </row>
    <row r="89" spans="1:7" x14ac:dyDescent="0.3">
      <c r="A89" s="28" t="s">
        <v>14</v>
      </c>
      <c r="B89" s="28">
        <v>2022</v>
      </c>
      <c r="C89" s="28" t="s">
        <v>8</v>
      </c>
      <c r="D89" s="28" t="s">
        <v>4</v>
      </c>
      <c r="E89">
        <f>INDEX('Financials USA'!$E$7:$N$19,MATCH(_xlfn.CONCAT('Input Data'!D89,'Input Data'!C89),'Financials USA'!$A$7:$A$19,0),MATCH('Input Data'!B89,'Financials USA'!$E$1:$N$1,0))</f>
        <v>22734</v>
      </c>
      <c r="F89">
        <f>VLOOKUP(_xlfn.CONCAT(A89,B89,C89),'Gross Profit &amp; EBITDA'!$D$2:$F$61,2,FALSE)*E89</f>
        <v>11367</v>
      </c>
      <c r="G89">
        <f>VLOOKUP(_xlfn.CONCAT(A89,B89,C89),'Gross Profit &amp; EBITDA'!$D$2:$F$61,3,FALSE)*E89</f>
        <v>2273.4</v>
      </c>
    </row>
    <row r="90" spans="1:7" x14ac:dyDescent="0.3">
      <c r="A90" s="28" t="s">
        <v>14</v>
      </c>
      <c r="B90" s="28">
        <v>2022</v>
      </c>
      <c r="C90" s="28" t="s">
        <v>9</v>
      </c>
      <c r="D90" s="28" t="s">
        <v>6</v>
      </c>
      <c r="E90">
        <f>INDEX('Financials USA'!$E$7:$N$19,MATCH(_xlfn.CONCAT('Input Data'!D90,'Input Data'!C90),'Financials USA'!$A$7:$A$19,0),MATCH('Input Data'!B90,'Financials USA'!$E$1:$N$1,0))</f>
        <v>18760</v>
      </c>
      <c r="F90">
        <f>VLOOKUP(_xlfn.CONCAT(A90,B90,C90),'Gross Profit &amp; EBITDA'!$D$2:$F$61,2,FALSE)*E90</f>
        <v>15008</v>
      </c>
      <c r="G90">
        <f>VLOOKUP(_xlfn.CONCAT(A90,B90,C90),'Gross Profit &amp; EBITDA'!$D$2:$F$61,3,FALSE)*E90</f>
        <v>1876</v>
      </c>
    </row>
    <row r="91" spans="1:7" x14ac:dyDescent="0.3">
      <c r="A91" s="28" t="s">
        <v>14</v>
      </c>
      <c r="B91" s="28">
        <v>2022</v>
      </c>
      <c r="C91" s="28" t="s">
        <v>9</v>
      </c>
      <c r="D91" s="28" t="s">
        <v>4</v>
      </c>
      <c r="E91">
        <f>INDEX('Financials USA'!$E$7:$N$19,MATCH(_xlfn.CONCAT('Input Data'!D91,'Input Data'!C91),'Financials USA'!$A$7:$A$19,0),MATCH('Input Data'!B91,'Financials USA'!$E$1:$N$1,0))</f>
        <v>3515</v>
      </c>
      <c r="F91">
        <f>VLOOKUP(_xlfn.CONCAT(A91,B91,C91),'Gross Profit &amp; EBITDA'!$D$2:$F$61,2,FALSE)*E91</f>
        <v>2812</v>
      </c>
      <c r="G91">
        <f>VLOOKUP(_xlfn.CONCAT(A91,B91,C91),'Gross Profit &amp; EBITDA'!$D$2:$F$61,3,FALSE)*E91</f>
        <v>351.5</v>
      </c>
    </row>
    <row r="92" spans="1:7" x14ac:dyDescent="0.3">
      <c r="A92" s="28" t="s">
        <v>14</v>
      </c>
      <c r="B92" s="28">
        <v>2023</v>
      </c>
      <c r="C92" s="28" t="s">
        <v>5</v>
      </c>
      <c r="D92" s="28" t="s">
        <v>6</v>
      </c>
      <c r="E92">
        <f>INDEX('Financials USA'!$E$7:$N$19,MATCH(_xlfn.CONCAT('Input Data'!D92,'Input Data'!C92),'Financials USA'!$A$7:$A$19,0),MATCH('Input Data'!B92,'Financials USA'!$E$1:$N$1,0))</f>
        <v>18660</v>
      </c>
      <c r="F92">
        <f>VLOOKUP(_xlfn.CONCAT(A92,B92,C92),'Gross Profit &amp; EBITDA'!$D$2:$F$61,2,FALSE)*E92</f>
        <v>13062.000000000002</v>
      </c>
      <c r="G92">
        <f>VLOOKUP(_xlfn.CONCAT(A92,B92,C92),'Gross Profit &amp; EBITDA'!$D$2:$F$61,3,FALSE)*E92</f>
        <v>3732</v>
      </c>
    </row>
    <row r="93" spans="1:7" x14ac:dyDescent="0.3">
      <c r="A93" s="28" t="s">
        <v>14</v>
      </c>
      <c r="B93" s="28">
        <v>2023</v>
      </c>
      <c r="C93" s="28" t="s">
        <v>5</v>
      </c>
      <c r="D93" s="28" t="s">
        <v>4</v>
      </c>
      <c r="E93">
        <f>INDEX('Financials USA'!$E$7:$N$19,MATCH(_xlfn.CONCAT('Input Data'!D93,'Input Data'!C93),'Financials USA'!$A$7:$A$19,0),MATCH('Input Data'!B93,'Financials USA'!$E$1:$N$1,0))</f>
        <v>6894</v>
      </c>
      <c r="F93">
        <f>VLOOKUP(_xlfn.CONCAT(A93,B93,C93),'Gross Profit &amp; EBITDA'!$D$2:$F$61,2,FALSE)*E93</f>
        <v>4825.8</v>
      </c>
      <c r="G93">
        <f>VLOOKUP(_xlfn.CONCAT(A93,B93,C93),'Gross Profit &amp; EBITDA'!$D$2:$F$61,3,FALSE)*E93</f>
        <v>1378.8000000000002</v>
      </c>
    </row>
    <row r="94" spans="1:7" x14ac:dyDescent="0.3">
      <c r="A94" s="28" t="s">
        <v>14</v>
      </c>
      <c r="B94" s="28">
        <v>2023</v>
      </c>
      <c r="C94" s="28" t="s">
        <v>8</v>
      </c>
      <c r="D94" s="28" t="s">
        <v>6</v>
      </c>
      <c r="E94">
        <f>INDEX('Financials USA'!$E$7:$N$19,MATCH(_xlfn.CONCAT('Input Data'!D94,'Input Data'!C94),'Financials USA'!$A$7:$A$19,0),MATCH('Input Data'!B94,'Financials USA'!$E$1:$N$1,0))</f>
        <v>111960</v>
      </c>
      <c r="F94">
        <f>VLOOKUP(_xlfn.CONCAT(A94,B94,C94),'Gross Profit &amp; EBITDA'!$D$2:$F$61,2,FALSE)*E94</f>
        <v>78372.000000000015</v>
      </c>
      <c r="G94">
        <f>VLOOKUP(_xlfn.CONCAT(A94,B94,C94),'Gross Profit &amp; EBITDA'!$D$2:$F$61,3,FALSE)*E94</f>
        <v>22392</v>
      </c>
    </row>
    <row r="95" spans="1:7" x14ac:dyDescent="0.3">
      <c r="A95" s="28" t="s">
        <v>14</v>
      </c>
      <c r="B95" s="28">
        <v>2023</v>
      </c>
      <c r="C95" s="28" t="s">
        <v>8</v>
      </c>
      <c r="D95" s="28" t="s">
        <v>4</v>
      </c>
      <c r="E95">
        <f>INDEX('Financials USA'!$E$7:$N$19,MATCH(_xlfn.CONCAT('Input Data'!D95,'Input Data'!C95),'Financials USA'!$A$7:$A$19,0),MATCH('Input Data'!B95,'Financials USA'!$E$1:$N$1,0))</f>
        <v>13788</v>
      </c>
      <c r="F95">
        <f>VLOOKUP(_xlfn.CONCAT(A95,B95,C95),'Gross Profit &amp; EBITDA'!$D$2:$F$61,2,FALSE)*E95</f>
        <v>9651.6</v>
      </c>
      <c r="G95">
        <f>VLOOKUP(_xlfn.CONCAT(A95,B95,C95),'Gross Profit &amp; EBITDA'!$D$2:$F$61,3,FALSE)*E95</f>
        <v>2757.6000000000004</v>
      </c>
    </row>
    <row r="96" spans="1:7" x14ac:dyDescent="0.3">
      <c r="A96" s="28" t="s">
        <v>14</v>
      </c>
      <c r="B96" s="28">
        <v>2023</v>
      </c>
      <c r="C96" s="28" t="s">
        <v>9</v>
      </c>
      <c r="D96" s="28" t="s">
        <v>6</v>
      </c>
      <c r="E96">
        <f>INDEX('Financials USA'!$E$7:$N$19,MATCH(_xlfn.CONCAT('Input Data'!D96,'Input Data'!C96),'Financials USA'!$A$7:$A$19,0),MATCH('Input Data'!B96,'Financials USA'!$E$1:$N$1,0))</f>
        <v>15933</v>
      </c>
      <c r="F96">
        <f>VLOOKUP(_xlfn.CONCAT(A96,B96,C96),'Gross Profit &amp; EBITDA'!$D$2:$F$61,2,FALSE)*E96</f>
        <v>12746.400000000001</v>
      </c>
      <c r="G96">
        <f>VLOOKUP(_xlfn.CONCAT(A96,B96,C96),'Gross Profit &amp; EBITDA'!$D$2:$F$61,3,FALSE)*E96</f>
        <v>1593.3000000000002</v>
      </c>
    </row>
    <row r="97" spans="1:7" x14ac:dyDescent="0.3">
      <c r="A97" s="28" t="s">
        <v>14</v>
      </c>
      <c r="B97" s="28">
        <v>2023</v>
      </c>
      <c r="C97" s="28" t="s">
        <v>9</v>
      </c>
      <c r="D97" s="28" t="s">
        <v>4</v>
      </c>
      <c r="E97">
        <f>INDEX('Financials USA'!$E$7:$N$19,MATCH(_xlfn.CONCAT('Input Data'!D97,'Input Data'!C97),'Financials USA'!$A$7:$A$19,0),MATCH('Input Data'!B97,'Financials USA'!$E$1:$N$1,0))</f>
        <v>5064</v>
      </c>
      <c r="F97">
        <f>VLOOKUP(_xlfn.CONCAT(A97,B97,C97),'Gross Profit &amp; EBITDA'!$D$2:$F$61,2,FALSE)*E97</f>
        <v>4051.2000000000003</v>
      </c>
      <c r="G97">
        <f>VLOOKUP(_xlfn.CONCAT(A97,B97,C97),'Gross Profit &amp; EBITDA'!$D$2:$F$61,3,FALSE)*E97</f>
        <v>506.40000000000003</v>
      </c>
    </row>
    <row r="98" spans="1:7" x14ac:dyDescent="0.3">
      <c r="A98" s="28" t="s">
        <v>14</v>
      </c>
      <c r="B98" s="28">
        <v>2024</v>
      </c>
      <c r="C98" s="28" t="s">
        <v>5</v>
      </c>
      <c r="D98" s="28" t="s">
        <v>6</v>
      </c>
      <c r="E98">
        <f>INDEX('Financials USA'!$E$7:$N$19,MATCH(_xlfn.CONCAT('Input Data'!D98,'Input Data'!C98),'Financials USA'!$A$7:$A$19,0),MATCH('Input Data'!B98,'Financials USA'!$E$1:$N$1,0))</f>
        <v>13958</v>
      </c>
      <c r="F98">
        <f>VLOOKUP(_xlfn.CONCAT(A98,B98,C98),'Gross Profit &amp; EBITDA'!$D$2:$F$61,2,FALSE)*E98</f>
        <v>6979</v>
      </c>
      <c r="G98">
        <f>VLOOKUP(_xlfn.CONCAT(A98,B98,C98),'Gross Profit &amp; EBITDA'!$D$2:$F$61,3,FALSE)*E98</f>
        <v>2791.6000000000004</v>
      </c>
    </row>
    <row r="99" spans="1:7" x14ac:dyDescent="0.3">
      <c r="A99" s="28" t="s">
        <v>14</v>
      </c>
      <c r="B99" s="28">
        <v>2024</v>
      </c>
      <c r="C99" s="28" t="s">
        <v>5</v>
      </c>
      <c r="D99" s="28" t="s">
        <v>4</v>
      </c>
      <c r="E99">
        <f>INDEX('Financials USA'!$E$7:$N$19,MATCH(_xlfn.CONCAT('Input Data'!D99,'Input Data'!C99),'Financials USA'!$A$7:$A$19,0),MATCH('Input Data'!B99,'Financials USA'!$E$1:$N$1,0))</f>
        <v>8880</v>
      </c>
      <c r="F99">
        <f>VLOOKUP(_xlfn.CONCAT(A99,B99,C99),'Gross Profit &amp; EBITDA'!$D$2:$F$61,2,FALSE)*E99</f>
        <v>4440</v>
      </c>
      <c r="G99">
        <f>VLOOKUP(_xlfn.CONCAT(A99,B99,C99),'Gross Profit &amp; EBITDA'!$D$2:$F$61,3,FALSE)*E99</f>
        <v>1776</v>
      </c>
    </row>
    <row r="100" spans="1:7" x14ac:dyDescent="0.3">
      <c r="A100" s="28" t="s">
        <v>14</v>
      </c>
      <c r="B100" s="28">
        <v>2024</v>
      </c>
      <c r="C100" s="28" t="s">
        <v>8</v>
      </c>
      <c r="D100" s="28" t="s">
        <v>6</v>
      </c>
      <c r="E100">
        <f>INDEX('Financials USA'!$E$7:$N$19,MATCH(_xlfn.CONCAT('Input Data'!D100,'Input Data'!C100),'Financials USA'!$A$7:$A$19,0),MATCH('Input Data'!B100,'Financials USA'!$E$1:$N$1,0))</f>
        <v>41874</v>
      </c>
      <c r="F100">
        <f>VLOOKUP(_xlfn.CONCAT(A100,B100,C100),'Gross Profit &amp; EBITDA'!$D$2:$F$61,2,FALSE)*E100</f>
        <v>20937</v>
      </c>
      <c r="G100">
        <f>VLOOKUP(_xlfn.CONCAT(A100,B100,C100),'Gross Profit &amp; EBITDA'!$D$2:$F$61,3,FALSE)*E100</f>
        <v>4187.4000000000005</v>
      </c>
    </row>
    <row r="101" spans="1:7" x14ac:dyDescent="0.3">
      <c r="A101" s="28" t="s">
        <v>14</v>
      </c>
      <c r="B101" s="28">
        <v>2024</v>
      </c>
      <c r="C101" s="28" t="s">
        <v>8</v>
      </c>
      <c r="D101" s="28" t="s">
        <v>4</v>
      </c>
      <c r="E101">
        <f>INDEX('Financials USA'!$E$7:$N$19,MATCH(_xlfn.CONCAT('Input Data'!D101,'Input Data'!C101),'Financials USA'!$A$7:$A$19,0),MATCH('Input Data'!B101,'Financials USA'!$E$1:$N$1,0))</f>
        <v>53280</v>
      </c>
      <c r="F101">
        <f>VLOOKUP(_xlfn.CONCAT(A101,B101,C101),'Gross Profit &amp; EBITDA'!$D$2:$F$61,2,FALSE)*E101</f>
        <v>26640</v>
      </c>
      <c r="G101">
        <f>VLOOKUP(_xlfn.CONCAT(A101,B101,C101),'Gross Profit &amp; EBITDA'!$D$2:$F$61,3,FALSE)*E101</f>
        <v>5328</v>
      </c>
    </row>
    <row r="102" spans="1:7" x14ac:dyDescent="0.3">
      <c r="A102" s="28" t="s">
        <v>14</v>
      </c>
      <c r="B102" s="28">
        <v>2024</v>
      </c>
      <c r="C102" s="28" t="s">
        <v>9</v>
      </c>
      <c r="D102" s="28" t="s">
        <v>6</v>
      </c>
      <c r="E102">
        <f>INDEX('Financials USA'!$E$7:$N$19,MATCH(_xlfn.CONCAT('Input Data'!D102,'Input Data'!C102),'Financials USA'!$A$7:$A$19,0),MATCH('Input Data'!B102,'Financials USA'!$E$1:$N$1,0))</f>
        <v>6528</v>
      </c>
      <c r="F102">
        <f>VLOOKUP(_xlfn.CONCAT(A102,B102,C102),'Gross Profit &amp; EBITDA'!$D$2:$F$61,2,FALSE)*E102</f>
        <v>4569.6000000000004</v>
      </c>
      <c r="G102">
        <f>VLOOKUP(_xlfn.CONCAT(A102,B102,C102),'Gross Profit &amp; EBITDA'!$D$2:$F$61,3,FALSE)*E102</f>
        <v>652.80000000000007</v>
      </c>
    </row>
    <row r="103" spans="1:7" x14ac:dyDescent="0.3">
      <c r="A103" s="28" t="s">
        <v>14</v>
      </c>
      <c r="B103" s="28">
        <v>2024</v>
      </c>
      <c r="C103" s="28" t="s">
        <v>9</v>
      </c>
      <c r="D103" s="28" t="s">
        <v>4</v>
      </c>
      <c r="E103">
        <f>INDEX('Financials USA'!$E$7:$N$19,MATCH(_xlfn.CONCAT('Input Data'!D103,'Input Data'!C103),'Financials USA'!$A$7:$A$19,0),MATCH('Input Data'!B103,'Financials USA'!$E$1:$N$1,0))</f>
        <v>9666</v>
      </c>
      <c r="F103">
        <f>VLOOKUP(_xlfn.CONCAT(A103,B103,C103),'Gross Profit &amp; EBITDA'!$D$2:$F$61,2,FALSE)*E103</f>
        <v>6766.2000000000007</v>
      </c>
      <c r="G103">
        <f>VLOOKUP(_xlfn.CONCAT(A103,B103,C103),'Gross Profit &amp; EBITDA'!$D$2:$F$61,3,FALSE)*E103</f>
        <v>966.6</v>
      </c>
    </row>
    <row r="104" spans="1:7" x14ac:dyDescent="0.3">
      <c r="A104" s="28" t="s">
        <v>14</v>
      </c>
      <c r="B104" s="28">
        <v>2025</v>
      </c>
      <c r="C104" s="28" t="s">
        <v>5</v>
      </c>
      <c r="D104" s="28" t="s">
        <v>6</v>
      </c>
      <c r="E104">
        <f>INDEX('Financials USA'!$E$7:$N$19,MATCH(_xlfn.CONCAT('Input Data'!D104,'Input Data'!C104),'Financials USA'!$A$7:$A$19,0),MATCH('Input Data'!B104,'Financials USA'!$E$1:$N$1,0))</f>
        <v>26427</v>
      </c>
      <c r="F104">
        <f>VLOOKUP(_xlfn.CONCAT(A104,B104,C104),'Gross Profit &amp; EBITDA'!$D$2:$F$61,2,FALSE)*E104</f>
        <v>15856.200000000003</v>
      </c>
      <c r="G104">
        <f>VLOOKUP(_xlfn.CONCAT(A104,B104,C104),'Gross Profit &amp; EBITDA'!$D$2:$F$61,3,FALSE)*E104</f>
        <v>2642.7000000000003</v>
      </c>
    </row>
    <row r="105" spans="1:7" x14ac:dyDescent="0.3">
      <c r="A105" s="28" t="s">
        <v>14</v>
      </c>
      <c r="B105" s="28">
        <v>2025</v>
      </c>
      <c r="C105" s="28" t="s">
        <v>5</v>
      </c>
      <c r="D105" s="28" t="s">
        <v>4</v>
      </c>
      <c r="E105">
        <f>INDEX('Financials USA'!$E$7:$N$19,MATCH(_xlfn.CONCAT('Input Data'!D105,'Input Data'!C105),'Financials USA'!$A$7:$A$19,0),MATCH('Input Data'!B105,'Financials USA'!$E$1:$N$1,0))</f>
        <v>4901</v>
      </c>
      <c r="F105">
        <f>VLOOKUP(_xlfn.CONCAT(A105,B105,C105),'Gross Profit &amp; EBITDA'!$D$2:$F$61,2,FALSE)*E105</f>
        <v>2940.6000000000004</v>
      </c>
      <c r="G105">
        <f>VLOOKUP(_xlfn.CONCAT(A105,B105,C105),'Gross Profit &amp; EBITDA'!$D$2:$F$61,3,FALSE)*E105</f>
        <v>490.1</v>
      </c>
    </row>
    <row r="106" spans="1:7" x14ac:dyDescent="0.3">
      <c r="A106" s="28" t="s">
        <v>14</v>
      </c>
      <c r="B106" s="28">
        <v>2025</v>
      </c>
      <c r="C106" s="28" t="s">
        <v>8</v>
      </c>
      <c r="D106" s="28" t="s">
        <v>6</v>
      </c>
      <c r="E106">
        <f>INDEX('Financials USA'!$E$7:$N$19,MATCH(_xlfn.CONCAT('Input Data'!D106,'Input Data'!C106),'Financials USA'!$A$7:$A$19,0),MATCH('Input Data'!B106,'Financials USA'!$E$1:$N$1,0))</f>
        <v>52854</v>
      </c>
      <c r="F106">
        <f>VLOOKUP(_xlfn.CONCAT(A106,B106,C106),'Gross Profit &amp; EBITDA'!$D$2:$F$61,2,FALSE)*E106</f>
        <v>36997.800000000003</v>
      </c>
      <c r="G106">
        <f>VLOOKUP(_xlfn.CONCAT(A106,B106,C106),'Gross Profit &amp; EBITDA'!$D$2:$F$61,3,FALSE)*E106</f>
        <v>10570.800000000001</v>
      </c>
    </row>
    <row r="107" spans="1:7" x14ac:dyDescent="0.3">
      <c r="A107" s="28" t="s">
        <v>14</v>
      </c>
      <c r="B107" s="28">
        <v>2025</v>
      </c>
      <c r="C107" s="28" t="s">
        <v>8</v>
      </c>
      <c r="D107" s="28" t="s">
        <v>4</v>
      </c>
      <c r="E107">
        <f>INDEX('Financials USA'!$E$7:$N$19,MATCH(_xlfn.CONCAT('Input Data'!D107,'Input Data'!C107),'Financials USA'!$A$7:$A$19,0),MATCH('Input Data'!B107,'Financials USA'!$E$1:$N$1,0))</f>
        <v>14703</v>
      </c>
      <c r="F107">
        <f>VLOOKUP(_xlfn.CONCAT(A107,B107,C107),'Gross Profit &amp; EBITDA'!$D$2:$F$61,2,FALSE)*E107</f>
        <v>10292.1</v>
      </c>
      <c r="G107">
        <f>VLOOKUP(_xlfn.CONCAT(A107,B107,C107),'Gross Profit &amp; EBITDA'!$D$2:$F$61,3,FALSE)*E107</f>
        <v>2940.6000000000004</v>
      </c>
    </row>
    <row r="108" spans="1:7" x14ac:dyDescent="0.3">
      <c r="A108" s="28" t="s">
        <v>14</v>
      </c>
      <c r="B108" s="28">
        <v>2025</v>
      </c>
      <c r="C108" s="28" t="s">
        <v>9</v>
      </c>
      <c r="D108" s="28" t="s">
        <v>6</v>
      </c>
      <c r="E108">
        <f>INDEX('Financials USA'!$E$7:$N$19,MATCH(_xlfn.CONCAT('Input Data'!D108,'Input Data'!C108),'Financials USA'!$A$7:$A$19,0),MATCH('Input Data'!B108,'Financials USA'!$E$1:$N$1,0))</f>
        <v>68814</v>
      </c>
      <c r="F108">
        <f>VLOOKUP(_xlfn.CONCAT(A108,B108,C108),'Gross Profit &amp; EBITDA'!$D$2:$F$61,2,FALSE)*E108</f>
        <v>34407</v>
      </c>
      <c r="G108">
        <f>VLOOKUP(_xlfn.CONCAT(A108,B108,C108),'Gross Profit &amp; EBITDA'!$D$2:$F$61,3,FALSE)*E108</f>
        <v>13762.800000000001</v>
      </c>
    </row>
    <row r="109" spans="1:7" x14ac:dyDescent="0.3">
      <c r="A109" s="28" t="s">
        <v>14</v>
      </c>
      <c r="B109" s="28">
        <v>2025</v>
      </c>
      <c r="C109" s="28" t="s">
        <v>9</v>
      </c>
      <c r="D109" s="28" t="s">
        <v>4</v>
      </c>
      <c r="E109">
        <f>INDEX('Financials USA'!$E$7:$N$19,MATCH(_xlfn.CONCAT('Input Data'!D109,'Input Data'!C109),'Financials USA'!$A$7:$A$19,0),MATCH('Input Data'!B109,'Financials USA'!$E$1:$N$1,0))</f>
        <v>1365</v>
      </c>
      <c r="F109">
        <f>VLOOKUP(_xlfn.CONCAT(A109,B109,C109),'Gross Profit &amp; EBITDA'!$D$2:$F$61,2,FALSE)*E109</f>
        <v>682.5</v>
      </c>
      <c r="G109">
        <f>VLOOKUP(_xlfn.CONCAT(A109,B109,C109),'Gross Profit &amp; EBITDA'!$D$2:$F$61,3,FALSE)*E109</f>
        <v>273</v>
      </c>
    </row>
    <row r="110" spans="1:7" x14ac:dyDescent="0.3">
      <c r="A110" s="28" t="s">
        <v>14</v>
      </c>
      <c r="B110" s="28">
        <v>2026</v>
      </c>
      <c r="C110" s="28" t="s">
        <v>5</v>
      </c>
      <c r="D110" s="28" t="s">
        <v>6</v>
      </c>
      <c r="E110">
        <f>INDEX('Financials USA'!$E$7:$N$19,MATCH(_xlfn.CONCAT('Input Data'!D110,'Input Data'!C110),'Financials USA'!$A$7:$A$19,0),MATCH('Input Data'!B110,'Financials USA'!$E$1:$N$1,0))</f>
        <v>24219</v>
      </c>
      <c r="F110">
        <f>VLOOKUP(_xlfn.CONCAT(A110,B110,C110),'Gross Profit &amp; EBITDA'!$D$2:$F$61,2,FALSE)*E110</f>
        <v>12109.5</v>
      </c>
      <c r="G110">
        <f>VLOOKUP(_xlfn.CONCAT(A110,B110,C110),'Gross Profit &amp; EBITDA'!$D$2:$F$61,3,FALSE)*E110</f>
        <v>4843.8</v>
      </c>
    </row>
    <row r="111" spans="1:7" x14ac:dyDescent="0.3">
      <c r="A111" s="28" t="s">
        <v>14</v>
      </c>
      <c r="B111" s="28">
        <v>2026</v>
      </c>
      <c r="C111" s="28" t="s">
        <v>5</v>
      </c>
      <c r="D111" s="28" t="s">
        <v>4</v>
      </c>
      <c r="E111">
        <f>INDEX('Financials USA'!$E$7:$N$19,MATCH(_xlfn.CONCAT('Input Data'!D111,'Input Data'!C111),'Financials USA'!$A$7:$A$19,0),MATCH('Input Data'!B111,'Financials USA'!$E$1:$N$1,0))</f>
        <v>3828</v>
      </c>
      <c r="F111">
        <f>VLOOKUP(_xlfn.CONCAT(A111,B111,C111),'Gross Profit &amp; EBITDA'!$D$2:$F$61,2,FALSE)*E111</f>
        <v>1914</v>
      </c>
      <c r="G111">
        <f>VLOOKUP(_xlfn.CONCAT(A111,B111,C111),'Gross Profit &amp; EBITDA'!$D$2:$F$61,3,FALSE)*E111</f>
        <v>765.6</v>
      </c>
    </row>
    <row r="112" spans="1:7" x14ac:dyDescent="0.3">
      <c r="A112" s="28" t="s">
        <v>14</v>
      </c>
      <c r="B112" s="28">
        <v>2026</v>
      </c>
      <c r="C112" s="28" t="s">
        <v>8</v>
      </c>
      <c r="D112" s="28" t="s">
        <v>6</v>
      </c>
      <c r="E112">
        <f>INDEX('Financials USA'!$E$7:$N$19,MATCH(_xlfn.CONCAT('Input Data'!D112,'Input Data'!C112),'Financials USA'!$A$7:$A$19,0),MATCH('Input Data'!B112,'Financials USA'!$E$1:$N$1,0))</f>
        <v>96876</v>
      </c>
      <c r="F112">
        <f>VLOOKUP(_xlfn.CONCAT(A112,B112,C112),'Gross Profit &amp; EBITDA'!$D$2:$F$61,2,FALSE)*E112</f>
        <v>58125.600000000006</v>
      </c>
      <c r="G112">
        <f>VLOOKUP(_xlfn.CONCAT(A112,B112,C112),'Gross Profit &amp; EBITDA'!$D$2:$F$61,3,FALSE)*E112</f>
        <v>19375.2</v>
      </c>
    </row>
    <row r="113" spans="1:7" x14ac:dyDescent="0.3">
      <c r="A113" s="28" t="s">
        <v>14</v>
      </c>
      <c r="B113" s="28">
        <v>2026</v>
      </c>
      <c r="C113" s="28" t="s">
        <v>8</v>
      </c>
      <c r="D113" s="28" t="s">
        <v>4</v>
      </c>
      <c r="E113">
        <f>INDEX('Financials USA'!$E$7:$N$19,MATCH(_xlfn.CONCAT('Input Data'!D113,'Input Data'!C113),'Financials USA'!$A$7:$A$19,0),MATCH('Input Data'!B113,'Financials USA'!$E$1:$N$1,0))</f>
        <v>3828</v>
      </c>
      <c r="F113">
        <f>VLOOKUP(_xlfn.CONCAT(A113,B113,C113),'Gross Profit &amp; EBITDA'!$D$2:$F$61,2,FALSE)*E113</f>
        <v>2296.8000000000002</v>
      </c>
      <c r="G113">
        <f>VLOOKUP(_xlfn.CONCAT(A113,B113,C113),'Gross Profit &amp; EBITDA'!$D$2:$F$61,3,FALSE)*E113</f>
        <v>765.6</v>
      </c>
    </row>
    <row r="114" spans="1:7" x14ac:dyDescent="0.3">
      <c r="A114" s="28" t="s">
        <v>14</v>
      </c>
      <c r="B114" s="28">
        <v>2026</v>
      </c>
      <c r="C114" s="28" t="s">
        <v>9</v>
      </c>
      <c r="D114" s="28" t="s">
        <v>6</v>
      </c>
      <c r="E114">
        <f>INDEX('Financials USA'!$E$7:$N$19,MATCH(_xlfn.CONCAT('Input Data'!D114,'Input Data'!C114),'Financials USA'!$A$7:$A$19,0),MATCH('Input Data'!B114,'Financials USA'!$E$1:$N$1,0))</f>
        <v>32694</v>
      </c>
      <c r="F114">
        <f>VLOOKUP(_xlfn.CONCAT(A114,B114,C114),'Gross Profit &amp; EBITDA'!$D$2:$F$61,2,FALSE)*E114</f>
        <v>16347</v>
      </c>
      <c r="G114">
        <f>VLOOKUP(_xlfn.CONCAT(A114,B114,C114),'Gross Profit &amp; EBITDA'!$D$2:$F$61,3,FALSE)*E114</f>
        <v>6538.8</v>
      </c>
    </row>
    <row r="115" spans="1:7" x14ac:dyDescent="0.3">
      <c r="A115" s="28" t="s">
        <v>14</v>
      </c>
      <c r="B115" s="28">
        <v>2026</v>
      </c>
      <c r="C115" s="28" t="s">
        <v>9</v>
      </c>
      <c r="D115" s="28" t="s">
        <v>4</v>
      </c>
      <c r="E115">
        <f>INDEX('Financials USA'!$E$7:$N$19,MATCH(_xlfn.CONCAT('Input Data'!D115,'Input Data'!C115),'Financials USA'!$A$7:$A$19,0),MATCH('Input Data'!B115,'Financials USA'!$E$1:$N$1,0))</f>
        <v>3022</v>
      </c>
      <c r="F115">
        <f>VLOOKUP(_xlfn.CONCAT(A115,B115,C115),'Gross Profit &amp; EBITDA'!$D$2:$F$61,2,FALSE)*E115</f>
        <v>1511</v>
      </c>
      <c r="G115">
        <f>VLOOKUP(_xlfn.CONCAT(A115,B115,C115),'Gross Profit &amp; EBITDA'!$D$2:$F$61,3,FALSE)*E115</f>
        <v>604.4</v>
      </c>
    </row>
    <row r="116" spans="1:7" x14ac:dyDescent="0.3">
      <c r="A116" s="28" t="s">
        <v>14</v>
      </c>
      <c r="B116" s="28">
        <v>2027</v>
      </c>
      <c r="C116" s="28" t="s">
        <v>5</v>
      </c>
      <c r="D116" s="28" t="s">
        <v>6</v>
      </c>
      <c r="E116">
        <f>INDEX('Financials USA'!$E$7:$N$19,MATCH(_xlfn.CONCAT('Input Data'!D116,'Input Data'!C116),'Financials USA'!$A$7:$A$19,0),MATCH('Input Data'!B116,'Financials USA'!$E$1:$N$1,0))</f>
        <v>23442</v>
      </c>
      <c r="F116">
        <f>VLOOKUP(_xlfn.CONCAT(A116,B116,C116),'Gross Profit &amp; EBITDA'!$D$2:$F$61,2,FALSE)*E116</f>
        <v>11721</v>
      </c>
      <c r="G116">
        <f>VLOOKUP(_xlfn.CONCAT(A116,B116,C116),'Gross Profit &amp; EBITDA'!$D$2:$F$61,3,FALSE)*E116</f>
        <v>2344.2000000000003</v>
      </c>
    </row>
    <row r="117" spans="1:7" x14ac:dyDescent="0.3">
      <c r="A117" s="28" t="s">
        <v>14</v>
      </c>
      <c r="B117" s="28">
        <v>2027</v>
      </c>
      <c r="C117" s="28" t="s">
        <v>5</v>
      </c>
      <c r="D117" s="28" t="s">
        <v>4</v>
      </c>
      <c r="E117">
        <f>INDEX('Financials USA'!$E$7:$N$19,MATCH(_xlfn.CONCAT('Input Data'!D117,'Input Data'!C117),'Financials USA'!$A$7:$A$19,0),MATCH('Input Data'!B117,'Financials USA'!$E$1:$N$1,0))</f>
        <v>5424</v>
      </c>
      <c r="F117">
        <f>VLOOKUP(_xlfn.CONCAT(A117,B117,C117),'Gross Profit &amp; EBITDA'!$D$2:$F$61,2,FALSE)*E117</f>
        <v>2712</v>
      </c>
      <c r="G117">
        <f>VLOOKUP(_xlfn.CONCAT(A117,B117,C117),'Gross Profit &amp; EBITDA'!$D$2:$F$61,3,FALSE)*E117</f>
        <v>542.4</v>
      </c>
    </row>
    <row r="118" spans="1:7" x14ac:dyDescent="0.3">
      <c r="A118" s="28" t="s">
        <v>14</v>
      </c>
      <c r="B118" s="28">
        <v>2027</v>
      </c>
      <c r="C118" s="28" t="s">
        <v>8</v>
      </c>
      <c r="D118" s="28" t="s">
        <v>6</v>
      </c>
      <c r="E118">
        <f>INDEX('Financials USA'!$E$7:$N$19,MATCH(_xlfn.CONCAT('Input Data'!D118,'Input Data'!C118),'Financials USA'!$A$7:$A$19,0),MATCH('Input Data'!B118,'Financials USA'!$E$1:$N$1,0))</f>
        <v>140652</v>
      </c>
      <c r="F118">
        <f>VLOOKUP(_xlfn.CONCAT(A118,B118,C118),'Gross Profit &amp; EBITDA'!$D$2:$F$61,2,FALSE)*E118</f>
        <v>70326</v>
      </c>
      <c r="G118">
        <f>VLOOKUP(_xlfn.CONCAT(A118,B118,C118),'Gross Profit &amp; EBITDA'!$D$2:$F$61,3,FALSE)*E118</f>
        <v>28130.400000000001</v>
      </c>
    </row>
    <row r="119" spans="1:7" x14ac:dyDescent="0.3">
      <c r="A119" s="28" t="s">
        <v>14</v>
      </c>
      <c r="B119" s="28">
        <v>2027</v>
      </c>
      <c r="C119" s="28" t="s">
        <v>8</v>
      </c>
      <c r="D119" s="28" t="s">
        <v>4</v>
      </c>
      <c r="E119">
        <f>INDEX('Financials USA'!$E$7:$N$19,MATCH(_xlfn.CONCAT('Input Data'!D119,'Input Data'!C119),'Financials USA'!$A$7:$A$19,0),MATCH('Input Data'!B119,'Financials USA'!$E$1:$N$1,0))</f>
        <v>5424</v>
      </c>
      <c r="F119">
        <f>VLOOKUP(_xlfn.CONCAT(A119,B119,C119),'Gross Profit &amp; EBITDA'!$D$2:$F$61,2,FALSE)*E119</f>
        <v>2712</v>
      </c>
      <c r="G119">
        <f>VLOOKUP(_xlfn.CONCAT(A119,B119,C119),'Gross Profit &amp; EBITDA'!$D$2:$F$61,3,FALSE)*E119</f>
        <v>1084.8</v>
      </c>
    </row>
    <row r="120" spans="1:7" x14ac:dyDescent="0.3">
      <c r="A120" s="28" t="s">
        <v>14</v>
      </c>
      <c r="B120" s="28">
        <v>2027</v>
      </c>
      <c r="C120" s="28" t="s">
        <v>9</v>
      </c>
      <c r="D120" s="28" t="s">
        <v>6</v>
      </c>
      <c r="E120">
        <f>INDEX('Financials USA'!$E$7:$N$19,MATCH(_xlfn.CONCAT('Input Data'!D120,'Input Data'!C120),'Financials USA'!$A$7:$A$19,0),MATCH('Input Data'!B120,'Financials USA'!$E$1:$N$1,0))</f>
        <v>9172</v>
      </c>
      <c r="F120">
        <f>VLOOKUP(_xlfn.CONCAT(A120,B120,C120),'Gross Profit &amp; EBITDA'!$D$2:$F$61,2,FALSE)*E120</f>
        <v>5503.2000000000007</v>
      </c>
      <c r="G120">
        <f>VLOOKUP(_xlfn.CONCAT(A120,B120,C120),'Gross Profit &amp; EBITDA'!$D$2:$F$61,3,FALSE)*E120</f>
        <v>1834.4</v>
      </c>
    </row>
    <row r="121" spans="1:7" x14ac:dyDescent="0.3">
      <c r="A121" s="28" t="s">
        <v>14</v>
      </c>
      <c r="B121" s="28">
        <v>2027</v>
      </c>
      <c r="C121" s="28" t="s">
        <v>9</v>
      </c>
      <c r="D121" s="28" t="s">
        <v>4</v>
      </c>
      <c r="E121">
        <f>INDEX('Financials USA'!$E$7:$N$19,MATCH(_xlfn.CONCAT('Input Data'!D121,'Input Data'!C121),'Financials USA'!$A$7:$A$19,0),MATCH('Input Data'!B121,'Financials USA'!$E$1:$N$1,0))</f>
        <v>15468</v>
      </c>
      <c r="F121">
        <f>VLOOKUP(_xlfn.CONCAT(A121,B121,C121),'Gross Profit &amp; EBITDA'!$D$2:$F$61,2,FALSE)*E121</f>
        <v>9280.8000000000011</v>
      </c>
      <c r="G121">
        <f>VLOOKUP(_xlfn.CONCAT(A121,B121,C121),'Gross Profit &amp; EBITDA'!$D$2:$F$61,3,FALSE)*E121</f>
        <v>3093.6000000000004</v>
      </c>
    </row>
    <row r="122" spans="1:7" x14ac:dyDescent="0.3">
      <c r="A122" s="28" t="s">
        <v>15</v>
      </c>
      <c r="B122" s="28">
        <v>2018</v>
      </c>
      <c r="C122" s="28" t="s">
        <v>5</v>
      </c>
      <c r="D122" s="28" t="s">
        <v>4</v>
      </c>
      <c r="E122">
        <f>INDEX('Financials Canada'!$E$7:$N$19,MATCH(_xlfn.CONCAT('Input Data'!D122,'Input Data'!C122),'Financials Canada'!$A$7:$A$19,0),MATCH('Input Data'!B122,'Financials Canada'!$E$1:$N$1,0))</f>
        <v>1869</v>
      </c>
      <c r="F122">
        <f>VLOOKUP(_xlfn.CONCAT(A122,B122,C122),'Gross Profit &amp; EBITDA'!$D$2:$F$61,2,FALSE)*E122</f>
        <v>1121.4000000000001</v>
      </c>
      <c r="G122">
        <f>VLOOKUP(_xlfn.CONCAT(A122,B122,C122),'Gross Profit &amp; EBITDA'!$D$2:$F$61,3,FALSE)*E122</f>
        <v>373.8</v>
      </c>
    </row>
    <row r="123" spans="1:7" x14ac:dyDescent="0.3">
      <c r="A123" s="28" t="s">
        <v>15</v>
      </c>
      <c r="B123" s="28">
        <v>2018</v>
      </c>
      <c r="C123" s="28" t="s">
        <v>5</v>
      </c>
      <c r="D123" s="28" t="s">
        <v>6</v>
      </c>
      <c r="E123">
        <f>INDEX('Financials Canada'!$E$7:$N$19,MATCH(_xlfn.CONCAT('Input Data'!D123,'Input Data'!C123),'Financials Canada'!$A$7:$A$19,0),MATCH('Input Data'!B123,'Financials Canada'!$E$1:$N$1,0))</f>
        <v>7987</v>
      </c>
      <c r="F123">
        <f>VLOOKUP(_xlfn.CONCAT(A123,B123,C123),'Gross Profit &amp; EBITDA'!$D$2:$F$61,2,FALSE)*E123</f>
        <v>4792.2000000000007</v>
      </c>
      <c r="G123">
        <f>VLOOKUP(_xlfn.CONCAT(A123,B123,C123),'Gross Profit &amp; EBITDA'!$D$2:$F$61,3,FALSE)*E123</f>
        <v>1597.4</v>
      </c>
    </row>
    <row r="124" spans="1:7" x14ac:dyDescent="0.3">
      <c r="A124" s="28" t="s">
        <v>15</v>
      </c>
      <c r="B124" s="28">
        <v>2018</v>
      </c>
      <c r="C124" s="28" t="s">
        <v>8</v>
      </c>
      <c r="D124" s="28" t="s">
        <v>4</v>
      </c>
      <c r="E124">
        <f>INDEX('Financials Canada'!$E$7:$N$19,MATCH(_xlfn.CONCAT('Input Data'!D124,'Input Data'!C124),'Financials Canada'!$A$7:$A$19,0),MATCH('Input Data'!B124,'Financials Canada'!$E$1:$N$1,0))</f>
        <v>2184</v>
      </c>
      <c r="F124">
        <f>VLOOKUP(_xlfn.CONCAT(A124,B124,C124),'Gross Profit &amp; EBITDA'!$D$2:$F$61,2,FALSE)*E124</f>
        <v>1747.2</v>
      </c>
      <c r="G124">
        <f>VLOOKUP(_xlfn.CONCAT(A124,B124,C124),'Gross Profit &amp; EBITDA'!$D$2:$F$61,3,FALSE)*E124</f>
        <v>218.4</v>
      </c>
    </row>
    <row r="125" spans="1:7" x14ac:dyDescent="0.3">
      <c r="A125" s="28" t="s">
        <v>15</v>
      </c>
      <c r="B125" s="28">
        <v>2018</v>
      </c>
      <c r="C125" s="28" t="s">
        <v>8</v>
      </c>
      <c r="D125" s="28" t="s">
        <v>6</v>
      </c>
      <c r="E125">
        <f>INDEX('Financials Canada'!$E$7:$N$19,MATCH(_xlfn.CONCAT('Input Data'!D125,'Input Data'!C125),'Financials Canada'!$A$7:$A$19,0),MATCH('Input Data'!B125,'Financials Canada'!$E$1:$N$1,0))</f>
        <v>3902</v>
      </c>
      <c r="F125">
        <f>VLOOKUP(_xlfn.CONCAT(A125,B125,C125),'Gross Profit &amp; EBITDA'!$D$2:$F$61,2,FALSE)*E125</f>
        <v>3121.6000000000004</v>
      </c>
      <c r="G125">
        <f>VLOOKUP(_xlfn.CONCAT(A125,B125,C125),'Gross Profit &amp; EBITDA'!$D$2:$F$61,3,FALSE)*E125</f>
        <v>390.20000000000005</v>
      </c>
    </row>
    <row r="126" spans="1:7" x14ac:dyDescent="0.3">
      <c r="A126" s="28" t="s">
        <v>15</v>
      </c>
      <c r="B126" s="28">
        <v>2018</v>
      </c>
      <c r="C126" s="28" t="s">
        <v>9</v>
      </c>
      <c r="D126" s="28" t="s">
        <v>4</v>
      </c>
      <c r="E126">
        <f>INDEX('Financials Canada'!$E$7:$N$19,MATCH(_xlfn.CONCAT('Input Data'!D126,'Input Data'!C126),'Financials Canada'!$A$7:$A$19,0),MATCH('Input Data'!B126,'Financials Canada'!$E$1:$N$1,0))</f>
        <v>684</v>
      </c>
      <c r="F126">
        <f>VLOOKUP(_xlfn.CONCAT(A126,B126,C126),'Gross Profit &amp; EBITDA'!$D$2:$F$61,2,FALSE)*E126</f>
        <v>547.20000000000005</v>
      </c>
      <c r="G126">
        <f>VLOOKUP(_xlfn.CONCAT(A126,B126,C126),'Gross Profit &amp; EBITDA'!$D$2:$F$61,3,FALSE)*E126</f>
        <v>136.80000000000001</v>
      </c>
    </row>
    <row r="127" spans="1:7" x14ac:dyDescent="0.3">
      <c r="A127" s="28" t="s">
        <v>15</v>
      </c>
      <c r="B127" s="28">
        <v>2018</v>
      </c>
      <c r="C127" s="28" t="s">
        <v>9</v>
      </c>
      <c r="D127" s="28" t="s">
        <v>6</v>
      </c>
      <c r="E127">
        <f>INDEX('Financials Canada'!$E$7:$N$19,MATCH(_xlfn.CONCAT('Input Data'!D127,'Input Data'!C127),'Financials Canada'!$A$7:$A$19,0),MATCH('Input Data'!B127,'Financials Canada'!$E$1:$N$1,0))</f>
        <v>4549</v>
      </c>
      <c r="F127">
        <f>VLOOKUP(_xlfn.CONCAT(A127,B127,C127),'Gross Profit &amp; EBITDA'!$D$2:$F$61,2,FALSE)*E127</f>
        <v>3639.2000000000003</v>
      </c>
      <c r="G127">
        <f>VLOOKUP(_xlfn.CONCAT(A127,B127,C127),'Gross Profit &amp; EBITDA'!$D$2:$F$61,3,FALSE)*E127</f>
        <v>909.80000000000007</v>
      </c>
    </row>
    <row r="128" spans="1:7" x14ac:dyDescent="0.3">
      <c r="A128" s="28" t="s">
        <v>15</v>
      </c>
      <c r="B128" s="28">
        <v>2019</v>
      </c>
      <c r="C128" s="28" t="s">
        <v>5</v>
      </c>
      <c r="D128" s="28" t="s">
        <v>4</v>
      </c>
      <c r="E128">
        <f>INDEX('Financials Canada'!$E$7:$N$19,MATCH(_xlfn.CONCAT('Input Data'!D128,'Input Data'!C128),'Financials Canada'!$A$7:$A$19,0),MATCH('Input Data'!B128,'Financials Canada'!$E$1:$N$1,0))</f>
        <v>3211</v>
      </c>
      <c r="F128">
        <f>VLOOKUP(_xlfn.CONCAT(A128,B128,C128),'Gross Profit &amp; EBITDA'!$D$2:$F$61,2,FALSE)*E128</f>
        <v>1926.6000000000004</v>
      </c>
      <c r="G128">
        <f>VLOOKUP(_xlfn.CONCAT(A128,B128,C128),'Gross Profit &amp; EBITDA'!$D$2:$F$61,3,FALSE)*E128</f>
        <v>642.20000000000005</v>
      </c>
    </row>
    <row r="129" spans="1:7" x14ac:dyDescent="0.3">
      <c r="A129" s="28" t="s">
        <v>15</v>
      </c>
      <c r="B129" s="28">
        <v>2019</v>
      </c>
      <c r="C129" s="28" t="s">
        <v>5</v>
      </c>
      <c r="D129" s="28" t="s">
        <v>6</v>
      </c>
      <c r="E129">
        <f>INDEX('Financials Canada'!$E$7:$N$19,MATCH(_xlfn.CONCAT('Input Data'!D129,'Input Data'!C129),'Financials Canada'!$A$7:$A$19,0),MATCH('Input Data'!B129,'Financials Canada'!$E$1:$N$1,0))</f>
        <v>7978</v>
      </c>
      <c r="F129">
        <f>VLOOKUP(_xlfn.CONCAT(A129,B129,C129),'Gross Profit &amp; EBITDA'!$D$2:$F$61,2,FALSE)*E129</f>
        <v>4786.8000000000011</v>
      </c>
      <c r="G129">
        <f>VLOOKUP(_xlfn.CONCAT(A129,B129,C129),'Gross Profit &amp; EBITDA'!$D$2:$F$61,3,FALSE)*E129</f>
        <v>1595.6000000000001</v>
      </c>
    </row>
    <row r="130" spans="1:7" x14ac:dyDescent="0.3">
      <c r="A130" s="28" t="s">
        <v>15</v>
      </c>
      <c r="B130" s="28">
        <v>2019</v>
      </c>
      <c r="C130" s="28" t="s">
        <v>8</v>
      </c>
      <c r="D130" s="28" t="s">
        <v>4</v>
      </c>
      <c r="E130">
        <f>INDEX('Financials Canada'!$E$7:$N$19,MATCH(_xlfn.CONCAT('Input Data'!D130,'Input Data'!C130),'Financials Canada'!$A$7:$A$19,0),MATCH('Input Data'!B130,'Financials Canada'!$E$1:$N$1,0))</f>
        <v>1395</v>
      </c>
      <c r="F130">
        <f>VLOOKUP(_xlfn.CONCAT(A130,B130,C130),'Gross Profit &amp; EBITDA'!$D$2:$F$61,2,FALSE)*E130</f>
        <v>976.50000000000011</v>
      </c>
      <c r="G130">
        <f>VLOOKUP(_xlfn.CONCAT(A130,B130,C130),'Gross Profit &amp; EBITDA'!$D$2:$F$61,3,FALSE)*E130</f>
        <v>139.5</v>
      </c>
    </row>
    <row r="131" spans="1:7" x14ac:dyDescent="0.3">
      <c r="A131" s="28" t="s">
        <v>15</v>
      </c>
      <c r="B131" s="28">
        <v>2019</v>
      </c>
      <c r="C131" s="28" t="s">
        <v>8</v>
      </c>
      <c r="D131" s="28" t="s">
        <v>6</v>
      </c>
      <c r="E131">
        <f>INDEX('Financials Canada'!$E$7:$N$19,MATCH(_xlfn.CONCAT('Input Data'!D131,'Input Data'!C131),'Financials Canada'!$A$7:$A$19,0),MATCH('Input Data'!B131,'Financials Canada'!$E$1:$N$1,0))</f>
        <v>3286</v>
      </c>
      <c r="F131">
        <f>VLOOKUP(_xlfn.CONCAT(A131,B131,C131),'Gross Profit &amp; EBITDA'!$D$2:$F$61,2,FALSE)*E131</f>
        <v>2300.2000000000003</v>
      </c>
      <c r="G131">
        <f>VLOOKUP(_xlfn.CONCAT(A131,B131,C131),'Gross Profit &amp; EBITDA'!$D$2:$F$61,3,FALSE)*E131</f>
        <v>328.6</v>
      </c>
    </row>
    <row r="132" spans="1:7" x14ac:dyDescent="0.3">
      <c r="A132" s="28" t="s">
        <v>15</v>
      </c>
      <c r="B132" s="28">
        <v>2019</v>
      </c>
      <c r="C132" s="28" t="s">
        <v>9</v>
      </c>
      <c r="D132" s="28" t="s">
        <v>4</v>
      </c>
      <c r="E132">
        <f>INDEX('Financials Canada'!$E$7:$N$19,MATCH(_xlfn.CONCAT('Input Data'!D132,'Input Data'!C132),'Financials Canada'!$A$7:$A$19,0),MATCH('Input Data'!B132,'Financials Canada'!$E$1:$N$1,0))</f>
        <v>2947</v>
      </c>
      <c r="F132">
        <f>VLOOKUP(_xlfn.CONCAT(A132,B132,C132),'Gross Profit &amp; EBITDA'!$D$2:$F$61,2,FALSE)*E132</f>
        <v>1473.5</v>
      </c>
      <c r="G132">
        <f>VLOOKUP(_xlfn.CONCAT(A132,B132,C132),'Gross Profit &amp; EBITDA'!$D$2:$F$61,3,FALSE)*E132</f>
        <v>589.4</v>
      </c>
    </row>
    <row r="133" spans="1:7" x14ac:dyDescent="0.3">
      <c r="A133" s="28" t="s">
        <v>15</v>
      </c>
      <c r="B133" s="28">
        <v>2019</v>
      </c>
      <c r="C133" s="28" t="s">
        <v>9</v>
      </c>
      <c r="D133" s="28" t="s">
        <v>6</v>
      </c>
      <c r="E133">
        <f>INDEX('Financials Canada'!$E$7:$N$19,MATCH(_xlfn.CONCAT('Input Data'!D133,'Input Data'!C133),'Financials Canada'!$A$7:$A$19,0),MATCH('Input Data'!B133,'Financials Canada'!$E$1:$N$1,0))</f>
        <v>2187</v>
      </c>
      <c r="F133">
        <f>VLOOKUP(_xlfn.CONCAT(A133,B133,C133),'Gross Profit &amp; EBITDA'!$D$2:$F$61,2,FALSE)*E133</f>
        <v>1093.5</v>
      </c>
      <c r="G133">
        <f>VLOOKUP(_xlfn.CONCAT(A133,B133,C133),'Gross Profit &amp; EBITDA'!$D$2:$F$61,3,FALSE)*E133</f>
        <v>437.40000000000003</v>
      </c>
    </row>
    <row r="134" spans="1:7" x14ac:dyDescent="0.3">
      <c r="A134" s="28" t="s">
        <v>15</v>
      </c>
      <c r="B134" s="28">
        <v>2020</v>
      </c>
      <c r="C134" s="28" t="s">
        <v>5</v>
      </c>
      <c r="D134" s="28" t="s">
        <v>4</v>
      </c>
      <c r="E134">
        <f>INDEX('Financials Canada'!$E$7:$N$19,MATCH(_xlfn.CONCAT('Input Data'!D134,'Input Data'!C134),'Financials Canada'!$A$7:$A$19,0),MATCH('Input Data'!B134,'Financials Canada'!$E$1:$N$1,0))</f>
        <v>2405</v>
      </c>
      <c r="F134">
        <f>VLOOKUP(_xlfn.CONCAT(A134,B134,C134),'Gross Profit &amp; EBITDA'!$D$2:$F$61,2,FALSE)*E134</f>
        <v>1683.5000000000002</v>
      </c>
      <c r="G134">
        <f>VLOOKUP(_xlfn.CONCAT(A134,B134,C134),'Gross Profit &amp; EBITDA'!$D$2:$F$61,3,FALSE)*E134</f>
        <v>481</v>
      </c>
    </row>
    <row r="135" spans="1:7" x14ac:dyDescent="0.3">
      <c r="A135" s="28" t="s">
        <v>15</v>
      </c>
      <c r="B135" s="28">
        <v>2020</v>
      </c>
      <c r="C135" s="28" t="s">
        <v>5</v>
      </c>
      <c r="D135" s="28" t="s">
        <v>6</v>
      </c>
      <c r="E135">
        <f>INDEX('Financials Canada'!$E$7:$N$19,MATCH(_xlfn.CONCAT('Input Data'!D135,'Input Data'!C135),'Financials Canada'!$A$7:$A$19,0),MATCH('Input Data'!B135,'Financials Canada'!$E$1:$N$1,0))</f>
        <v>8045</v>
      </c>
      <c r="F135">
        <f>VLOOKUP(_xlfn.CONCAT(A135,B135,C135),'Gross Profit &amp; EBITDA'!$D$2:$F$61,2,FALSE)*E135</f>
        <v>5631.5000000000009</v>
      </c>
      <c r="G135">
        <f>VLOOKUP(_xlfn.CONCAT(A135,B135,C135),'Gross Profit &amp; EBITDA'!$D$2:$F$61,3,FALSE)*E135</f>
        <v>1609</v>
      </c>
    </row>
    <row r="136" spans="1:7" x14ac:dyDescent="0.3">
      <c r="A136" s="28" t="s">
        <v>15</v>
      </c>
      <c r="B136" s="28">
        <v>2020</v>
      </c>
      <c r="C136" s="28" t="s">
        <v>8</v>
      </c>
      <c r="D136" s="28" t="s">
        <v>4</v>
      </c>
      <c r="E136">
        <f>INDEX('Financials Canada'!$E$7:$N$19,MATCH(_xlfn.CONCAT('Input Data'!D136,'Input Data'!C136),'Financials Canada'!$A$7:$A$19,0),MATCH('Input Data'!B136,'Financials Canada'!$E$1:$N$1,0))</f>
        <v>1625</v>
      </c>
      <c r="F136">
        <f>VLOOKUP(_xlfn.CONCAT(A136,B136,C136),'Gross Profit &amp; EBITDA'!$D$2:$F$61,2,FALSE)*E136</f>
        <v>975.00000000000011</v>
      </c>
      <c r="G136">
        <f>VLOOKUP(_xlfn.CONCAT(A136,B136,C136),'Gross Profit &amp; EBITDA'!$D$2:$F$61,3,FALSE)*E136</f>
        <v>162.5</v>
      </c>
    </row>
    <row r="137" spans="1:7" x14ac:dyDescent="0.3">
      <c r="A137" s="28" t="s">
        <v>15</v>
      </c>
      <c r="B137" s="28">
        <v>2020</v>
      </c>
      <c r="C137" s="28" t="s">
        <v>8</v>
      </c>
      <c r="D137" s="28" t="s">
        <v>6</v>
      </c>
      <c r="E137">
        <f>INDEX('Financials Canada'!$E$7:$N$19,MATCH(_xlfn.CONCAT('Input Data'!D137,'Input Data'!C137),'Financials Canada'!$A$7:$A$19,0),MATCH('Input Data'!B137,'Financials Canada'!$E$1:$N$1,0))</f>
        <v>2912</v>
      </c>
      <c r="F137">
        <f>VLOOKUP(_xlfn.CONCAT(A137,B137,C137),'Gross Profit &amp; EBITDA'!$D$2:$F$61,2,FALSE)*E137</f>
        <v>1747.2000000000003</v>
      </c>
      <c r="G137">
        <f>VLOOKUP(_xlfn.CONCAT(A137,B137,C137),'Gross Profit &amp; EBITDA'!$D$2:$F$61,3,FALSE)*E137</f>
        <v>291.2</v>
      </c>
    </row>
    <row r="138" spans="1:7" x14ac:dyDescent="0.3">
      <c r="A138" s="28" t="s">
        <v>15</v>
      </c>
      <c r="B138" s="28">
        <v>2020</v>
      </c>
      <c r="C138" s="28" t="s">
        <v>9</v>
      </c>
      <c r="D138" s="28" t="s">
        <v>4</v>
      </c>
      <c r="E138">
        <f>INDEX('Financials Canada'!$E$7:$N$19,MATCH(_xlfn.CONCAT('Input Data'!D138,'Input Data'!C138),'Financials Canada'!$A$7:$A$19,0),MATCH('Input Data'!B138,'Financials Canada'!$E$1:$N$1,0))</f>
        <v>1690</v>
      </c>
      <c r="F138">
        <f>VLOOKUP(_xlfn.CONCAT(A138,B138,C138),'Gross Profit &amp; EBITDA'!$D$2:$F$61,2,FALSE)*E138</f>
        <v>1183</v>
      </c>
      <c r="G138">
        <f>VLOOKUP(_xlfn.CONCAT(A138,B138,C138),'Gross Profit &amp; EBITDA'!$D$2:$F$61,3,FALSE)*E138</f>
        <v>338</v>
      </c>
    </row>
    <row r="139" spans="1:7" x14ac:dyDescent="0.3">
      <c r="A139" s="28" t="s">
        <v>15</v>
      </c>
      <c r="B139" s="28">
        <v>2020</v>
      </c>
      <c r="C139" s="28" t="s">
        <v>9</v>
      </c>
      <c r="D139" s="28" t="s">
        <v>6</v>
      </c>
      <c r="E139">
        <f>INDEX('Financials Canada'!$E$7:$N$19,MATCH(_xlfn.CONCAT('Input Data'!D139,'Input Data'!C139),'Financials Canada'!$A$7:$A$19,0),MATCH('Input Data'!B139,'Financials Canada'!$E$1:$N$1,0))</f>
        <v>6203</v>
      </c>
      <c r="F139">
        <f>VLOOKUP(_xlfn.CONCAT(A139,B139,C139),'Gross Profit &amp; EBITDA'!$D$2:$F$61,2,FALSE)*E139</f>
        <v>4342.1000000000004</v>
      </c>
      <c r="G139">
        <f>VLOOKUP(_xlfn.CONCAT(A139,B139,C139),'Gross Profit &amp; EBITDA'!$D$2:$F$61,3,FALSE)*E139</f>
        <v>1240.6000000000001</v>
      </c>
    </row>
    <row r="140" spans="1:7" x14ac:dyDescent="0.3">
      <c r="A140" s="28" t="s">
        <v>15</v>
      </c>
      <c r="B140" s="28">
        <v>2021</v>
      </c>
      <c r="C140" s="28" t="s">
        <v>5</v>
      </c>
      <c r="D140" s="28" t="s">
        <v>4</v>
      </c>
      <c r="E140">
        <f>INDEX('Financials Canada'!$E$7:$N$19,MATCH(_xlfn.CONCAT('Input Data'!D140,'Input Data'!C140),'Financials Canada'!$A$7:$A$19,0),MATCH('Input Data'!B140,'Financials Canada'!$E$1:$N$1,0))</f>
        <v>2490</v>
      </c>
      <c r="F140">
        <f>VLOOKUP(_xlfn.CONCAT(A140,B140,C140),'Gross Profit &amp; EBITDA'!$D$2:$F$61,2,FALSE)*E140</f>
        <v>1494.0000000000002</v>
      </c>
      <c r="G140">
        <f>VLOOKUP(_xlfn.CONCAT(A140,B140,C140),'Gross Profit &amp; EBITDA'!$D$2:$F$61,3,FALSE)*E140</f>
        <v>498</v>
      </c>
    </row>
    <row r="141" spans="1:7" x14ac:dyDescent="0.3">
      <c r="A141" s="28" t="s">
        <v>15</v>
      </c>
      <c r="B141" s="28">
        <v>2021</v>
      </c>
      <c r="C141" s="28" t="s">
        <v>5</v>
      </c>
      <c r="D141" s="28" t="s">
        <v>6</v>
      </c>
      <c r="E141">
        <f>INDEX('Financials Canada'!$E$7:$N$19,MATCH(_xlfn.CONCAT('Input Data'!D141,'Input Data'!C141),'Financials Canada'!$A$7:$A$19,0),MATCH('Input Data'!B141,'Financials Canada'!$E$1:$N$1,0))</f>
        <v>5075</v>
      </c>
      <c r="F141">
        <f>VLOOKUP(_xlfn.CONCAT(A141,B141,C141),'Gross Profit &amp; EBITDA'!$D$2:$F$61,2,FALSE)*E141</f>
        <v>3045.0000000000005</v>
      </c>
      <c r="G141">
        <f>VLOOKUP(_xlfn.CONCAT(A141,B141,C141),'Gross Profit &amp; EBITDA'!$D$2:$F$61,3,FALSE)*E141</f>
        <v>1015</v>
      </c>
    </row>
    <row r="142" spans="1:7" x14ac:dyDescent="0.3">
      <c r="A142" s="28" t="s">
        <v>15</v>
      </c>
      <c r="B142" s="28">
        <v>2021</v>
      </c>
      <c r="C142" s="28" t="s">
        <v>8</v>
      </c>
      <c r="D142" s="28" t="s">
        <v>4</v>
      </c>
      <c r="E142">
        <f>INDEX('Financials Canada'!$E$7:$N$19,MATCH(_xlfn.CONCAT('Input Data'!D142,'Input Data'!C142),'Financials Canada'!$A$7:$A$19,0),MATCH('Input Data'!B142,'Financials Canada'!$E$1:$N$1,0))</f>
        <v>1710</v>
      </c>
      <c r="F142">
        <f>VLOOKUP(_xlfn.CONCAT(A142,B142,C142),'Gross Profit &amp; EBITDA'!$D$2:$F$61,2,FALSE)*E142</f>
        <v>855</v>
      </c>
      <c r="G142">
        <f>VLOOKUP(_xlfn.CONCAT(A142,B142,C142),'Gross Profit &amp; EBITDA'!$D$2:$F$61,3,FALSE)*E142</f>
        <v>342</v>
      </c>
    </row>
    <row r="143" spans="1:7" x14ac:dyDescent="0.3">
      <c r="A143" s="28" t="s">
        <v>15</v>
      </c>
      <c r="B143" s="28">
        <v>2021</v>
      </c>
      <c r="C143" s="28" t="s">
        <v>8</v>
      </c>
      <c r="D143" s="28" t="s">
        <v>6</v>
      </c>
      <c r="E143">
        <f>INDEX('Financials Canada'!$E$7:$N$19,MATCH(_xlfn.CONCAT('Input Data'!D143,'Input Data'!C143),'Financials Canada'!$A$7:$A$19,0),MATCH('Input Data'!B143,'Financials Canada'!$E$1:$N$1,0))</f>
        <v>4586</v>
      </c>
      <c r="F143">
        <f>VLOOKUP(_xlfn.CONCAT(A143,B143,C143),'Gross Profit &amp; EBITDA'!$D$2:$F$61,2,FALSE)*E143</f>
        <v>2293</v>
      </c>
      <c r="G143">
        <f>VLOOKUP(_xlfn.CONCAT(A143,B143,C143),'Gross Profit &amp; EBITDA'!$D$2:$F$61,3,FALSE)*E143</f>
        <v>917.2</v>
      </c>
    </row>
    <row r="144" spans="1:7" x14ac:dyDescent="0.3">
      <c r="A144" s="28" t="s">
        <v>15</v>
      </c>
      <c r="B144" s="28">
        <v>2021</v>
      </c>
      <c r="C144" s="28" t="s">
        <v>9</v>
      </c>
      <c r="D144" s="28" t="s">
        <v>4</v>
      </c>
      <c r="E144">
        <f>INDEX('Financials Canada'!$E$7:$N$19,MATCH(_xlfn.CONCAT('Input Data'!D144,'Input Data'!C144),'Financials Canada'!$A$7:$A$19,0),MATCH('Input Data'!B144,'Financials Canada'!$E$1:$N$1,0))</f>
        <v>1626</v>
      </c>
      <c r="F144">
        <f>VLOOKUP(_xlfn.CONCAT(A144,B144,C144),'Gross Profit &amp; EBITDA'!$D$2:$F$61,2,FALSE)*E144</f>
        <v>1300.8000000000002</v>
      </c>
      <c r="G144">
        <f>VLOOKUP(_xlfn.CONCAT(A144,B144,C144),'Gross Profit &amp; EBITDA'!$D$2:$F$61,3,FALSE)*E144</f>
        <v>325.20000000000005</v>
      </c>
    </row>
    <row r="145" spans="1:7" x14ac:dyDescent="0.3">
      <c r="A145" s="28" t="s">
        <v>15</v>
      </c>
      <c r="B145" s="28">
        <v>2021</v>
      </c>
      <c r="C145" s="28" t="s">
        <v>9</v>
      </c>
      <c r="D145" s="28" t="s">
        <v>6</v>
      </c>
      <c r="E145">
        <f>INDEX('Financials Canada'!$E$7:$N$19,MATCH(_xlfn.CONCAT('Input Data'!D145,'Input Data'!C145),'Financials Canada'!$A$7:$A$19,0),MATCH('Input Data'!B145,'Financials Canada'!$E$1:$N$1,0))</f>
        <v>1126</v>
      </c>
      <c r="F145">
        <f>VLOOKUP(_xlfn.CONCAT(A145,B145,C145),'Gross Profit &amp; EBITDA'!$D$2:$F$61,2,FALSE)*E145</f>
        <v>900.80000000000007</v>
      </c>
      <c r="G145">
        <f>VLOOKUP(_xlfn.CONCAT(A145,B145,C145),'Gross Profit &amp; EBITDA'!$D$2:$F$61,3,FALSE)*E145</f>
        <v>225.20000000000002</v>
      </c>
    </row>
    <row r="146" spans="1:7" x14ac:dyDescent="0.3">
      <c r="A146" s="28" t="s">
        <v>15</v>
      </c>
      <c r="B146" s="28">
        <v>2022</v>
      </c>
      <c r="C146" s="28" t="s">
        <v>5</v>
      </c>
      <c r="D146" s="28" t="s">
        <v>4</v>
      </c>
      <c r="E146">
        <f>INDEX('Financials Canada'!$E$7:$N$19,MATCH(_xlfn.CONCAT('Input Data'!D146,'Input Data'!C146),'Financials Canada'!$A$7:$A$19,0),MATCH('Input Data'!B146,'Financials Canada'!$E$1:$N$1,0))</f>
        <v>3789</v>
      </c>
      <c r="F146">
        <f>VLOOKUP(_xlfn.CONCAT(A146,B146,C146),'Gross Profit &amp; EBITDA'!$D$2:$F$61,2,FALSE)*E146</f>
        <v>2652.3</v>
      </c>
      <c r="G146">
        <f>VLOOKUP(_xlfn.CONCAT(A146,B146,C146),'Gross Profit &amp; EBITDA'!$D$2:$F$61,3,FALSE)*E146</f>
        <v>757.80000000000007</v>
      </c>
    </row>
    <row r="147" spans="1:7" x14ac:dyDescent="0.3">
      <c r="A147" s="28" t="s">
        <v>15</v>
      </c>
      <c r="B147" s="28">
        <v>2022</v>
      </c>
      <c r="C147" s="28" t="s">
        <v>5</v>
      </c>
      <c r="D147" s="28" t="s">
        <v>6</v>
      </c>
      <c r="E147">
        <f>INDEX('Financials Canada'!$E$7:$N$19,MATCH(_xlfn.CONCAT('Input Data'!D147,'Input Data'!C147),'Financials Canada'!$A$7:$A$19,0),MATCH('Input Data'!B147,'Financials Canada'!$E$1:$N$1,0))</f>
        <v>7242</v>
      </c>
      <c r="F147">
        <f>VLOOKUP(_xlfn.CONCAT(A147,B147,C147),'Gross Profit &amp; EBITDA'!$D$2:$F$61,2,FALSE)*E147</f>
        <v>5069.4000000000005</v>
      </c>
      <c r="G147">
        <f>VLOOKUP(_xlfn.CONCAT(A147,B147,C147),'Gross Profit &amp; EBITDA'!$D$2:$F$61,3,FALSE)*E147</f>
        <v>1448.4</v>
      </c>
    </row>
    <row r="148" spans="1:7" x14ac:dyDescent="0.3">
      <c r="A148" s="28" t="s">
        <v>15</v>
      </c>
      <c r="B148" s="28">
        <v>2022</v>
      </c>
      <c r="C148" s="28" t="s">
        <v>8</v>
      </c>
      <c r="D148" s="28" t="s">
        <v>4</v>
      </c>
      <c r="E148">
        <f>INDEX('Financials Canada'!$E$7:$N$19,MATCH(_xlfn.CONCAT('Input Data'!D148,'Input Data'!C148),'Financials Canada'!$A$7:$A$19,0),MATCH('Input Data'!B148,'Financials Canada'!$E$1:$N$1,0))</f>
        <v>1738</v>
      </c>
      <c r="F148">
        <f>VLOOKUP(_xlfn.CONCAT(A148,B148,C148),'Gross Profit &amp; EBITDA'!$D$2:$F$61,2,FALSE)*E148</f>
        <v>869</v>
      </c>
      <c r="G148">
        <f>VLOOKUP(_xlfn.CONCAT(A148,B148,C148),'Gross Profit &amp; EBITDA'!$D$2:$F$61,3,FALSE)*E148</f>
        <v>347.6</v>
      </c>
    </row>
    <row r="149" spans="1:7" x14ac:dyDescent="0.3">
      <c r="A149" s="28" t="s">
        <v>15</v>
      </c>
      <c r="B149" s="28">
        <v>2022</v>
      </c>
      <c r="C149" s="28" t="s">
        <v>8</v>
      </c>
      <c r="D149" s="28" t="s">
        <v>6</v>
      </c>
      <c r="E149">
        <f>INDEX('Financials Canada'!$E$7:$N$19,MATCH(_xlfn.CONCAT('Input Data'!D149,'Input Data'!C149),'Financials Canada'!$A$7:$A$19,0),MATCH('Input Data'!B149,'Financials Canada'!$E$1:$N$1,0))</f>
        <v>2666</v>
      </c>
      <c r="F149">
        <f>VLOOKUP(_xlfn.CONCAT(A149,B149,C149),'Gross Profit &amp; EBITDA'!$D$2:$F$61,2,FALSE)*E149</f>
        <v>1333</v>
      </c>
      <c r="G149">
        <f>VLOOKUP(_xlfn.CONCAT(A149,B149,C149),'Gross Profit &amp; EBITDA'!$D$2:$F$61,3,FALSE)*E149</f>
        <v>533.20000000000005</v>
      </c>
    </row>
    <row r="150" spans="1:7" x14ac:dyDescent="0.3">
      <c r="A150" s="28" t="s">
        <v>15</v>
      </c>
      <c r="B150" s="28">
        <v>2022</v>
      </c>
      <c r="C150" s="28" t="s">
        <v>9</v>
      </c>
      <c r="D150" s="28" t="s">
        <v>4</v>
      </c>
      <c r="E150">
        <f>INDEX('Financials Canada'!$E$7:$N$19,MATCH(_xlfn.CONCAT('Input Data'!D150,'Input Data'!C150),'Financials Canada'!$A$7:$A$19,0),MATCH('Input Data'!B150,'Financials Canada'!$E$1:$N$1,0))</f>
        <v>3515</v>
      </c>
      <c r="F150">
        <f>VLOOKUP(_xlfn.CONCAT(A150,B150,C150),'Gross Profit &amp; EBITDA'!$D$2:$F$61,2,FALSE)*E150</f>
        <v>1757.5</v>
      </c>
      <c r="G150">
        <f>VLOOKUP(_xlfn.CONCAT(A150,B150,C150),'Gross Profit &amp; EBITDA'!$D$2:$F$61,3,FALSE)*E150</f>
        <v>351.5</v>
      </c>
    </row>
    <row r="151" spans="1:7" x14ac:dyDescent="0.3">
      <c r="A151" s="28" t="s">
        <v>15</v>
      </c>
      <c r="B151" s="28">
        <v>2022</v>
      </c>
      <c r="C151" s="28" t="s">
        <v>9</v>
      </c>
      <c r="D151" s="28" t="s">
        <v>6</v>
      </c>
      <c r="E151">
        <f>INDEX('Financials Canada'!$E$7:$N$19,MATCH(_xlfn.CONCAT('Input Data'!D151,'Input Data'!C151),'Financials Canada'!$A$7:$A$19,0),MATCH('Input Data'!B151,'Financials Canada'!$E$1:$N$1,0))</f>
        <v>4690</v>
      </c>
      <c r="F151">
        <f>VLOOKUP(_xlfn.CONCAT(A151,B151,C151),'Gross Profit &amp; EBITDA'!$D$2:$F$61,2,FALSE)*E151</f>
        <v>2345</v>
      </c>
      <c r="G151">
        <f>VLOOKUP(_xlfn.CONCAT(A151,B151,C151),'Gross Profit &amp; EBITDA'!$D$2:$F$61,3,FALSE)*E151</f>
        <v>469</v>
      </c>
    </row>
    <row r="152" spans="1:7" x14ac:dyDescent="0.3">
      <c r="A152" s="28" t="s">
        <v>15</v>
      </c>
      <c r="B152" s="28">
        <v>2023</v>
      </c>
      <c r="C152" s="28" t="s">
        <v>5</v>
      </c>
      <c r="D152" s="28" t="s">
        <v>4</v>
      </c>
      <c r="E152">
        <f>INDEX('Financials Canada'!$E$7:$N$19,MATCH(_xlfn.CONCAT('Input Data'!D152,'Input Data'!C152),'Financials Canada'!$A$7:$A$19,0),MATCH('Input Data'!B152,'Financials Canada'!$E$1:$N$1,0))</f>
        <v>2298</v>
      </c>
      <c r="F152">
        <f>VLOOKUP(_xlfn.CONCAT(A152,B152,C152),'Gross Profit &amp; EBITDA'!$D$2:$F$61,2,FALSE)*E152</f>
        <v>1608.6000000000001</v>
      </c>
      <c r="G152">
        <f>VLOOKUP(_xlfn.CONCAT(A152,B152,C152),'Gross Profit &amp; EBITDA'!$D$2:$F$61,3,FALSE)*E152</f>
        <v>459.6</v>
      </c>
    </row>
    <row r="153" spans="1:7" x14ac:dyDescent="0.3">
      <c r="A153" s="28" t="s">
        <v>15</v>
      </c>
      <c r="B153" s="28">
        <v>2023</v>
      </c>
      <c r="C153" s="28" t="s">
        <v>5</v>
      </c>
      <c r="D153" s="28" t="s">
        <v>6</v>
      </c>
      <c r="E153">
        <f>INDEX('Financials Canada'!$E$7:$N$19,MATCH(_xlfn.CONCAT('Input Data'!D153,'Input Data'!C153),'Financials Canada'!$A$7:$A$19,0),MATCH('Input Data'!B153,'Financials Canada'!$E$1:$N$1,0))</f>
        <v>9330</v>
      </c>
      <c r="F153">
        <f>VLOOKUP(_xlfn.CONCAT(A153,B153,C153),'Gross Profit &amp; EBITDA'!$D$2:$F$61,2,FALSE)*E153</f>
        <v>6531.0000000000009</v>
      </c>
      <c r="G153">
        <f>VLOOKUP(_xlfn.CONCAT(A153,B153,C153),'Gross Profit &amp; EBITDA'!$D$2:$F$61,3,FALSE)*E153</f>
        <v>1866</v>
      </c>
    </row>
    <row r="154" spans="1:7" x14ac:dyDescent="0.3">
      <c r="A154" s="28" t="s">
        <v>15</v>
      </c>
      <c r="B154" s="28">
        <v>2023</v>
      </c>
      <c r="C154" s="28" t="s">
        <v>8</v>
      </c>
      <c r="D154" s="28" t="s">
        <v>4</v>
      </c>
      <c r="E154">
        <f>INDEX('Financials Canada'!$E$7:$N$19,MATCH(_xlfn.CONCAT('Input Data'!D154,'Input Data'!C154),'Financials Canada'!$A$7:$A$19,0),MATCH('Input Data'!B154,'Financials Canada'!$E$1:$N$1,0))</f>
        <v>2471</v>
      </c>
      <c r="F154">
        <f>VLOOKUP(_xlfn.CONCAT(A154,B154,C154),'Gross Profit &amp; EBITDA'!$D$2:$F$61,2,FALSE)*E154</f>
        <v>1729.7000000000003</v>
      </c>
      <c r="G154">
        <f>VLOOKUP(_xlfn.CONCAT(A154,B154,C154),'Gross Profit &amp; EBITDA'!$D$2:$F$61,3,FALSE)*E154</f>
        <v>494.20000000000005</v>
      </c>
    </row>
    <row r="155" spans="1:7" x14ac:dyDescent="0.3">
      <c r="A155" s="28" t="s">
        <v>15</v>
      </c>
      <c r="B155" s="28">
        <v>2023</v>
      </c>
      <c r="C155" s="28" t="s">
        <v>8</v>
      </c>
      <c r="D155" s="28" t="s">
        <v>6</v>
      </c>
      <c r="E155">
        <f>INDEX('Financials Canada'!$E$7:$N$19,MATCH(_xlfn.CONCAT('Input Data'!D155,'Input Data'!C155),'Financials Canada'!$A$7:$A$19,0),MATCH('Input Data'!B155,'Financials Canada'!$E$1:$N$1,0))</f>
        <v>4027</v>
      </c>
      <c r="F155">
        <f>VLOOKUP(_xlfn.CONCAT(A155,B155,C155),'Gross Profit &amp; EBITDA'!$D$2:$F$61,2,FALSE)*E155</f>
        <v>2818.9</v>
      </c>
      <c r="G155">
        <f>VLOOKUP(_xlfn.CONCAT(A155,B155,C155),'Gross Profit &amp; EBITDA'!$D$2:$F$61,3,FALSE)*E155</f>
        <v>805.40000000000009</v>
      </c>
    </row>
    <row r="156" spans="1:7" x14ac:dyDescent="0.3">
      <c r="A156" s="28" t="s">
        <v>15</v>
      </c>
      <c r="B156" s="28">
        <v>2023</v>
      </c>
      <c r="C156" s="28" t="s">
        <v>9</v>
      </c>
      <c r="D156" s="28" t="s">
        <v>4</v>
      </c>
      <c r="E156">
        <f>INDEX('Financials Canada'!$E$7:$N$19,MATCH(_xlfn.CONCAT('Input Data'!D156,'Input Data'!C156),'Financials Canada'!$A$7:$A$19,0),MATCH('Input Data'!B156,'Financials Canada'!$E$1:$N$1,0))</f>
        <v>2532</v>
      </c>
      <c r="F156">
        <f>VLOOKUP(_xlfn.CONCAT(A156,B156,C156),'Gross Profit &amp; EBITDA'!$D$2:$F$61,2,FALSE)*E156</f>
        <v>2025.6000000000001</v>
      </c>
      <c r="G156">
        <f>VLOOKUP(_xlfn.CONCAT(A156,B156,C156),'Gross Profit &amp; EBITDA'!$D$2:$F$61,3,FALSE)*E156</f>
        <v>253.20000000000002</v>
      </c>
    </row>
    <row r="157" spans="1:7" x14ac:dyDescent="0.3">
      <c r="A157" s="28" t="s">
        <v>15</v>
      </c>
      <c r="B157" s="28">
        <v>2023</v>
      </c>
      <c r="C157" s="28" t="s">
        <v>9</v>
      </c>
      <c r="D157" s="28" t="s">
        <v>6</v>
      </c>
      <c r="E157">
        <f>INDEX('Financials Canada'!$E$7:$N$19,MATCH(_xlfn.CONCAT('Input Data'!D157,'Input Data'!C157),'Financials Canada'!$A$7:$A$19,0),MATCH('Input Data'!B157,'Financials Canada'!$E$1:$N$1,0))</f>
        <v>5311</v>
      </c>
      <c r="F157">
        <f>VLOOKUP(_xlfn.CONCAT(A157,B157,C157),'Gross Profit &amp; EBITDA'!$D$2:$F$61,2,FALSE)*E157</f>
        <v>4248.8</v>
      </c>
      <c r="G157">
        <f>VLOOKUP(_xlfn.CONCAT(A157,B157,C157),'Gross Profit &amp; EBITDA'!$D$2:$F$61,3,FALSE)*E157</f>
        <v>531.1</v>
      </c>
    </row>
    <row r="158" spans="1:7" x14ac:dyDescent="0.3">
      <c r="A158" s="28" t="s">
        <v>15</v>
      </c>
      <c r="B158" s="28">
        <v>2024</v>
      </c>
      <c r="C158" s="28" t="s">
        <v>5</v>
      </c>
      <c r="D158" s="28" t="s">
        <v>4</v>
      </c>
      <c r="E158">
        <f>INDEX('Financials Canada'!$E$7:$N$19,MATCH(_xlfn.CONCAT('Input Data'!D158,'Input Data'!C158),'Financials Canada'!$A$7:$A$19,0),MATCH('Input Data'!B158,'Financials Canada'!$E$1:$N$1,0))</f>
        <v>4440</v>
      </c>
      <c r="F158">
        <f>VLOOKUP(_xlfn.CONCAT(A158,B158,C158),'Gross Profit &amp; EBITDA'!$D$2:$F$61,2,FALSE)*E158</f>
        <v>3108.0000000000005</v>
      </c>
      <c r="G158">
        <f>VLOOKUP(_xlfn.CONCAT(A158,B158,C158),'Gross Profit &amp; EBITDA'!$D$2:$F$61,3,FALSE)*E158</f>
        <v>444</v>
      </c>
    </row>
    <row r="159" spans="1:7" x14ac:dyDescent="0.3">
      <c r="A159" s="28" t="s">
        <v>15</v>
      </c>
      <c r="B159" s="28">
        <v>2024</v>
      </c>
      <c r="C159" s="28" t="s">
        <v>5</v>
      </c>
      <c r="D159" s="28" t="s">
        <v>6</v>
      </c>
      <c r="E159">
        <f>INDEX('Financials Canada'!$E$7:$N$19,MATCH(_xlfn.CONCAT('Input Data'!D159,'Input Data'!C159),'Financials Canada'!$A$7:$A$19,0),MATCH('Input Data'!B159,'Financials Canada'!$E$1:$N$1,0))</f>
        <v>6979</v>
      </c>
      <c r="F159">
        <f>VLOOKUP(_xlfn.CONCAT(A159,B159,C159),'Gross Profit &amp; EBITDA'!$D$2:$F$61,2,FALSE)*E159</f>
        <v>4885.3</v>
      </c>
      <c r="G159">
        <f>VLOOKUP(_xlfn.CONCAT(A159,B159,C159),'Gross Profit &amp; EBITDA'!$D$2:$F$61,3,FALSE)*E159</f>
        <v>697.90000000000009</v>
      </c>
    </row>
    <row r="160" spans="1:7" x14ac:dyDescent="0.3">
      <c r="A160" s="28" t="s">
        <v>15</v>
      </c>
      <c r="B160" s="28">
        <v>2024</v>
      </c>
      <c r="C160" s="28" t="s">
        <v>8</v>
      </c>
      <c r="D160" s="28" t="s">
        <v>4</v>
      </c>
      <c r="E160">
        <f>INDEX('Financials Canada'!$E$7:$N$19,MATCH(_xlfn.CONCAT('Input Data'!D160,'Input Data'!C160),'Financials Canada'!$A$7:$A$19,0),MATCH('Input Data'!B160,'Financials Canada'!$E$1:$N$1,0))</f>
        <v>1689</v>
      </c>
      <c r="F160">
        <f>VLOOKUP(_xlfn.CONCAT(A160,B160,C160),'Gross Profit &amp; EBITDA'!$D$2:$F$61,2,FALSE)*E160</f>
        <v>844.5</v>
      </c>
      <c r="G160">
        <f>VLOOKUP(_xlfn.CONCAT(A160,B160,C160),'Gross Profit &amp; EBITDA'!$D$2:$F$61,3,FALSE)*E160</f>
        <v>337.8</v>
      </c>
    </row>
    <row r="161" spans="1:7" x14ac:dyDescent="0.3">
      <c r="A161" s="28" t="s">
        <v>15</v>
      </c>
      <c r="B161" s="28">
        <v>2024</v>
      </c>
      <c r="C161" s="28" t="s">
        <v>8</v>
      </c>
      <c r="D161" s="28" t="s">
        <v>6</v>
      </c>
      <c r="E161">
        <f>INDEX('Financials Canada'!$E$7:$N$19,MATCH(_xlfn.CONCAT('Input Data'!D161,'Input Data'!C161),'Financials Canada'!$A$7:$A$19,0),MATCH('Input Data'!B161,'Financials Canada'!$E$1:$N$1,0))</f>
        <v>2778</v>
      </c>
      <c r="F161">
        <f>VLOOKUP(_xlfn.CONCAT(A161,B161,C161),'Gross Profit &amp; EBITDA'!$D$2:$F$61,2,FALSE)*E161</f>
        <v>1389</v>
      </c>
      <c r="G161">
        <f>VLOOKUP(_xlfn.CONCAT(A161,B161,C161),'Gross Profit &amp; EBITDA'!$D$2:$F$61,3,FALSE)*E161</f>
        <v>555.6</v>
      </c>
    </row>
    <row r="162" spans="1:7" x14ac:dyDescent="0.3">
      <c r="A162" s="28" t="s">
        <v>15</v>
      </c>
      <c r="B162" s="28">
        <v>2024</v>
      </c>
      <c r="C162" s="28" t="s">
        <v>9</v>
      </c>
      <c r="D162" s="28" t="s">
        <v>4</v>
      </c>
      <c r="E162">
        <f>INDEX('Financials Canada'!$E$7:$N$19,MATCH(_xlfn.CONCAT('Input Data'!D162,'Input Data'!C162),'Financials Canada'!$A$7:$A$19,0),MATCH('Input Data'!B162,'Financials Canada'!$E$1:$N$1,0))</f>
        <v>1611</v>
      </c>
      <c r="F162">
        <f>VLOOKUP(_xlfn.CONCAT(A162,B162,C162),'Gross Profit &amp; EBITDA'!$D$2:$F$61,2,FALSE)*E162</f>
        <v>805.5</v>
      </c>
      <c r="G162">
        <f>VLOOKUP(_xlfn.CONCAT(A162,B162,C162),'Gross Profit &amp; EBITDA'!$D$2:$F$61,3,FALSE)*E162</f>
        <v>161.10000000000002</v>
      </c>
    </row>
    <row r="163" spans="1:7" x14ac:dyDescent="0.3">
      <c r="A163" s="28" t="s">
        <v>15</v>
      </c>
      <c r="B163" s="28">
        <v>2024</v>
      </c>
      <c r="C163" s="28" t="s">
        <v>9</v>
      </c>
      <c r="D163" s="28" t="s">
        <v>6</v>
      </c>
      <c r="E163">
        <f>INDEX('Financials Canada'!$E$7:$N$19,MATCH(_xlfn.CONCAT('Input Data'!D163,'Input Data'!C163),'Financials Canada'!$A$7:$A$19,0),MATCH('Input Data'!B163,'Financials Canada'!$E$1:$N$1,0))</f>
        <v>6528</v>
      </c>
      <c r="F163">
        <f>VLOOKUP(_xlfn.CONCAT(A163,B163,C163),'Gross Profit &amp; EBITDA'!$D$2:$F$61,2,FALSE)*E163</f>
        <v>3264</v>
      </c>
      <c r="G163">
        <f>VLOOKUP(_xlfn.CONCAT(A163,B163,C163),'Gross Profit &amp; EBITDA'!$D$2:$F$61,3,FALSE)*E163</f>
        <v>652.80000000000007</v>
      </c>
    </row>
    <row r="164" spans="1:7" x14ac:dyDescent="0.3">
      <c r="A164" s="28" t="s">
        <v>15</v>
      </c>
      <c r="B164" s="28">
        <v>2025</v>
      </c>
      <c r="C164" s="28" t="s">
        <v>5</v>
      </c>
      <c r="D164" s="28" t="s">
        <v>4</v>
      </c>
      <c r="E164">
        <f>INDEX('Financials Canada'!$E$7:$N$19,MATCH(_xlfn.CONCAT('Input Data'!D164,'Input Data'!C164),'Financials Canada'!$A$7:$A$19,0),MATCH('Input Data'!B164,'Financials Canada'!$E$1:$N$1,0))</f>
        <v>4901</v>
      </c>
      <c r="F164">
        <f>VLOOKUP(_xlfn.CONCAT(A164,B164,C164),'Gross Profit &amp; EBITDA'!$D$2:$F$61,2,FALSE)*E164</f>
        <v>2450.5</v>
      </c>
      <c r="G164">
        <f>VLOOKUP(_xlfn.CONCAT(A164,B164,C164),'Gross Profit &amp; EBITDA'!$D$2:$F$61,3,FALSE)*E164</f>
        <v>490.1</v>
      </c>
    </row>
    <row r="165" spans="1:7" x14ac:dyDescent="0.3">
      <c r="A165" s="28" t="s">
        <v>15</v>
      </c>
      <c r="B165" s="28">
        <v>2025</v>
      </c>
      <c r="C165" s="28" t="s">
        <v>5</v>
      </c>
      <c r="D165" s="28" t="s">
        <v>6</v>
      </c>
      <c r="E165">
        <f>INDEX('Financials Canada'!$E$7:$N$19,MATCH(_xlfn.CONCAT('Input Data'!D165,'Input Data'!C165),'Financials Canada'!$A$7:$A$19,0),MATCH('Input Data'!B165,'Financials Canada'!$E$1:$N$1,0))</f>
        <v>8809</v>
      </c>
      <c r="F165">
        <f>VLOOKUP(_xlfn.CONCAT(A165,B165,C165),'Gross Profit &amp; EBITDA'!$D$2:$F$61,2,FALSE)*E165</f>
        <v>4404.5</v>
      </c>
      <c r="G165">
        <f>VLOOKUP(_xlfn.CONCAT(A165,B165,C165),'Gross Profit &amp; EBITDA'!$D$2:$F$61,3,FALSE)*E165</f>
        <v>880.90000000000009</v>
      </c>
    </row>
    <row r="166" spans="1:7" x14ac:dyDescent="0.3">
      <c r="A166" s="28" t="s">
        <v>15</v>
      </c>
      <c r="B166" s="28">
        <v>2025</v>
      </c>
      <c r="C166" s="28" t="s">
        <v>8</v>
      </c>
      <c r="D166" s="28" t="s">
        <v>4</v>
      </c>
      <c r="E166">
        <f>INDEX('Financials Canada'!$E$7:$N$19,MATCH(_xlfn.CONCAT('Input Data'!D166,'Input Data'!C166),'Financials Canada'!$A$7:$A$19,0),MATCH('Input Data'!B166,'Financials Canada'!$E$1:$N$1,0))</f>
        <v>2300</v>
      </c>
      <c r="F166">
        <f>VLOOKUP(_xlfn.CONCAT(A166,B166,C166),'Gross Profit &amp; EBITDA'!$D$2:$F$61,2,FALSE)*E166</f>
        <v>1150</v>
      </c>
      <c r="G166">
        <f>VLOOKUP(_xlfn.CONCAT(A166,B166,C166),'Gross Profit &amp; EBITDA'!$D$2:$F$61,3,FALSE)*E166</f>
        <v>460</v>
      </c>
    </row>
    <row r="167" spans="1:7" x14ac:dyDescent="0.3">
      <c r="A167" s="28" t="s">
        <v>15</v>
      </c>
      <c r="B167" s="28">
        <v>2025</v>
      </c>
      <c r="C167" s="28" t="s">
        <v>8</v>
      </c>
      <c r="D167" s="28" t="s">
        <v>6</v>
      </c>
      <c r="E167">
        <f>INDEX('Financials Canada'!$E$7:$N$19,MATCH(_xlfn.CONCAT('Input Data'!D167,'Input Data'!C167),'Financials Canada'!$A$7:$A$19,0),MATCH('Input Data'!B167,'Financials Canada'!$E$1:$N$1,0))</f>
        <v>5369</v>
      </c>
      <c r="F167">
        <f>VLOOKUP(_xlfn.CONCAT(A167,B167,C167),'Gross Profit &amp; EBITDA'!$D$2:$F$61,2,FALSE)*E167</f>
        <v>2684.5</v>
      </c>
      <c r="G167">
        <f>VLOOKUP(_xlfn.CONCAT(A167,B167,C167),'Gross Profit &amp; EBITDA'!$D$2:$F$61,3,FALSE)*E167</f>
        <v>1073.8</v>
      </c>
    </row>
    <row r="168" spans="1:7" x14ac:dyDescent="0.3">
      <c r="A168" s="28" t="s">
        <v>15</v>
      </c>
      <c r="B168" s="28">
        <v>2025</v>
      </c>
      <c r="C168" s="28" t="s">
        <v>9</v>
      </c>
      <c r="D168" s="28" t="s">
        <v>4</v>
      </c>
      <c r="E168">
        <f>INDEX('Financials Canada'!$E$7:$N$19,MATCH(_xlfn.CONCAT('Input Data'!D168,'Input Data'!C168),'Financials Canada'!$A$7:$A$19,0),MATCH('Input Data'!B168,'Financials Canada'!$E$1:$N$1,0))</f>
        <v>455</v>
      </c>
      <c r="F168">
        <f>VLOOKUP(_xlfn.CONCAT(A168,B168,C168),'Gross Profit &amp; EBITDA'!$D$2:$F$61,2,FALSE)*E168</f>
        <v>227.5</v>
      </c>
      <c r="G168">
        <f>VLOOKUP(_xlfn.CONCAT(A168,B168,C168),'Gross Profit &amp; EBITDA'!$D$2:$F$61,3,FALSE)*E168</f>
        <v>91</v>
      </c>
    </row>
    <row r="169" spans="1:7" x14ac:dyDescent="0.3">
      <c r="A169" s="28" t="s">
        <v>15</v>
      </c>
      <c r="B169" s="28">
        <v>2025</v>
      </c>
      <c r="C169" s="28" t="s">
        <v>9</v>
      </c>
      <c r="D169" s="28" t="s">
        <v>6</v>
      </c>
      <c r="E169">
        <f>INDEX('Financials Canada'!$E$7:$N$19,MATCH(_xlfn.CONCAT('Input Data'!D169,'Input Data'!C169),'Financials Canada'!$A$7:$A$19,0),MATCH('Input Data'!B169,'Financials Canada'!$E$1:$N$1,0))</f>
        <v>7646</v>
      </c>
      <c r="F169">
        <f>VLOOKUP(_xlfn.CONCAT(A169,B169,C169),'Gross Profit &amp; EBITDA'!$D$2:$F$61,2,FALSE)*E169</f>
        <v>3823</v>
      </c>
      <c r="G169">
        <f>VLOOKUP(_xlfn.CONCAT(A169,B169,C169),'Gross Profit &amp; EBITDA'!$D$2:$F$61,3,FALSE)*E169</f>
        <v>1529.2</v>
      </c>
    </row>
    <row r="170" spans="1:7" x14ac:dyDescent="0.3">
      <c r="A170" s="28" t="s">
        <v>15</v>
      </c>
      <c r="B170" s="28">
        <v>2026</v>
      </c>
      <c r="C170" s="28" t="s">
        <v>5</v>
      </c>
      <c r="D170" s="28" t="s">
        <v>4</v>
      </c>
      <c r="E170">
        <f>INDEX('Financials Canada'!$E$7:$N$19,MATCH(_xlfn.CONCAT('Input Data'!D170,'Input Data'!C170),'Financials Canada'!$A$7:$A$19,0),MATCH('Input Data'!B170,'Financials Canada'!$E$1:$N$1,0))</f>
        <v>3828</v>
      </c>
      <c r="F170">
        <f>VLOOKUP(_xlfn.CONCAT(A170,B170,C170),'Gross Profit &amp; EBITDA'!$D$2:$F$61,2,FALSE)*E170</f>
        <v>2296.8000000000002</v>
      </c>
      <c r="G170">
        <f>VLOOKUP(_xlfn.CONCAT(A170,B170,C170),'Gross Profit &amp; EBITDA'!$D$2:$F$61,3,FALSE)*E170</f>
        <v>765.6</v>
      </c>
    </row>
    <row r="171" spans="1:7" x14ac:dyDescent="0.3">
      <c r="A171" s="28" t="s">
        <v>15</v>
      </c>
      <c r="B171" s="28">
        <v>2026</v>
      </c>
      <c r="C171" s="28" t="s">
        <v>5</v>
      </c>
      <c r="D171" s="28" t="s">
        <v>6</v>
      </c>
      <c r="E171">
        <f>INDEX('Financials Canada'!$E$7:$N$19,MATCH(_xlfn.CONCAT('Input Data'!D171,'Input Data'!C171),'Financials Canada'!$A$7:$A$19,0),MATCH('Input Data'!B171,'Financials Canada'!$E$1:$N$1,0))</f>
        <v>8073</v>
      </c>
      <c r="F171">
        <f>VLOOKUP(_xlfn.CONCAT(A171,B171,C171),'Gross Profit &amp; EBITDA'!$D$2:$F$61,2,FALSE)*E171</f>
        <v>4843.8000000000011</v>
      </c>
      <c r="G171">
        <f>VLOOKUP(_xlfn.CONCAT(A171,B171,C171),'Gross Profit &amp; EBITDA'!$D$2:$F$61,3,FALSE)*E171</f>
        <v>1614.6000000000001</v>
      </c>
    </row>
    <row r="172" spans="1:7" x14ac:dyDescent="0.3">
      <c r="A172" s="28" t="s">
        <v>15</v>
      </c>
      <c r="B172" s="28">
        <v>2026</v>
      </c>
      <c r="C172" s="28" t="s">
        <v>8</v>
      </c>
      <c r="D172" s="28" t="s">
        <v>4</v>
      </c>
      <c r="E172">
        <f>INDEX('Financials Canada'!$E$7:$N$19,MATCH(_xlfn.CONCAT('Input Data'!D172,'Input Data'!C172),'Financials Canada'!$A$7:$A$19,0),MATCH('Input Data'!B172,'Financials Canada'!$E$1:$N$1,0))</f>
        <v>3500</v>
      </c>
      <c r="F172">
        <f>VLOOKUP(_xlfn.CONCAT(A172,B172,C172),'Gross Profit &amp; EBITDA'!$D$2:$F$61,2,FALSE)*E172</f>
        <v>2800</v>
      </c>
      <c r="G172">
        <f>VLOOKUP(_xlfn.CONCAT(A172,B172,C172),'Gross Profit &amp; EBITDA'!$D$2:$F$61,3,FALSE)*E172</f>
        <v>350</v>
      </c>
    </row>
    <row r="173" spans="1:7" x14ac:dyDescent="0.3">
      <c r="A173" s="28" t="s">
        <v>15</v>
      </c>
      <c r="B173" s="28">
        <v>2026</v>
      </c>
      <c r="C173" s="28" t="s">
        <v>8</v>
      </c>
      <c r="D173" s="28" t="s">
        <v>6</v>
      </c>
      <c r="E173">
        <f>INDEX('Financials Canada'!$E$7:$N$19,MATCH(_xlfn.CONCAT('Input Data'!D173,'Input Data'!C173),'Financials Canada'!$A$7:$A$19,0),MATCH('Input Data'!B173,'Financials Canada'!$E$1:$N$1,0))</f>
        <v>4109</v>
      </c>
      <c r="F173">
        <f>VLOOKUP(_xlfn.CONCAT(A173,B173,C173),'Gross Profit &amp; EBITDA'!$D$2:$F$61,2,FALSE)*E173</f>
        <v>3287.2000000000003</v>
      </c>
      <c r="G173">
        <f>VLOOKUP(_xlfn.CONCAT(A173,B173,C173),'Gross Profit &amp; EBITDA'!$D$2:$F$61,3,FALSE)*E173</f>
        <v>410.90000000000003</v>
      </c>
    </row>
    <row r="174" spans="1:7" x14ac:dyDescent="0.3">
      <c r="A174" s="28" t="s">
        <v>15</v>
      </c>
      <c r="B174" s="28">
        <v>2026</v>
      </c>
      <c r="C174" s="28" t="s">
        <v>9</v>
      </c>
      <c r="D174" s="28" t="s">
        <v>4</v>
      </c>
      <c r="E174">
        <f>INDEX('Financials Canada'!$E$7:$N$19,MATCH(_xlfn.CONCAT('Input Data'!D174,'Input Data'!C174),'Financials Canada'!$A$7:$A$19,0),MATCH('Input Data'!B174,'Financials Canada'!$E$1:$N$1,0))</f>
        <v>3022</v>
      </c>
      <c r="F174">
        <f>VLOOKUP(_xlfn.CONCAT(A174,B174,C174),'Gross Profit &amp; EBITDA'!$D$2:$F$61,2,FALSE)*E174</f>
        <v>2417.6</v>
      </c>
      <c r="G174">
        <f>VLOOKUP(_xlfn.CONCAT(A174,B174,C174),'Gross Profit &amp; EBITDA'!$D$2:$F$61,3,FALSE)*E174</f>
        <v>302.2</v>
      </c>
    </row>
    <row r="175" spans="1:7" x14ac:dyDescent="0.3">
      <c r="A175" s="28" t="s">
        <v>15</v>
      </c>
      <c r="B175" s="28">
        <v>2026</v>
      </c>
      <c r="C175" s="28" t="s">
        <v>9</v>
      </c>
      <c r="D175" s="28" t="s">
        <v>6</v>
      </c>
      <c r="E175">
        <f>INDEX('Financials Canada'!$E$7:$N$19,MATCH(_xlfn.CONCAT('Input Data'!D175,'Input Data'!C175),'Financials Canada'!$A$7:$A$19,0),MATCH('Input Data'!B175,'Financials Canada'!$E$1:$N$1,0))</f>
        <v>5449</v>
      </c>
      <c r="F175">
        <f>VLOOKUP(_xlfn.CONCAT(A175,B175,C175),'Gross Profit &amp; EBITDA'!$D$2:$F$61,2,FALSE)*E175</f>
        <v>4359.2</v>
      </c>
      <c r="G175">
        <f>VLOOKUP(_xlfn.CONCAT(A175,B175,C175),'Gross Profit &amp; EBITDA'!$D$2:$F$61,3,FALSE)*E175</f>
        <v>544.9</v>
      </c>
    </row>
    <row r="176" spans="1:7" x14ac:dyDescent="0.3">
      <c r="A176" s="28" t="s">
        <v>15</v>
      </c>
      <c r="B176" s="28">
        <v>2027</v>
      </c>
      <c r="C176" s="28" t="s">
        <v>5</v>
      </c>
      <c r="D176" s="28" t="s">
        <v>4</v>
      </c>
      <c r="E176">
        <f>INDEX('Financials Canada'!$E$7:$N$19,MATCH(_xlfn.CONCAT('Input Data'!D176,'Input Data'!C176),'Financials Canada'!$A$7:$A$19,0),MATCH('Input Data'!B176,'Financials Canada'!$E$1:$N$1,0))</f>
        <v>1808</v>
      </c>
      <c r="F176">
        <f>VLOOKUP(_xlfn.CONCAT(A176,B176,C176),'Gross Profit &amp; EBITDA'!$D$2:$F$61,2,FALSE)*E176</f>
        <v>904</v>
      </c>
      <c r="G176">
        <f>VLOOKUP(_xlfn.CONCAT(A176,B176,C176),'Gross Profit &amp; EBITDA'!$D$2:$F$61,3,FALSE)*E176</f>
        <v>361.6</v>
      </c>
    </row>
    <row r="177" spans="1:7" x14ac:dyDescent="0.3">
      <c r="A177" s="28" t="s">
        <v>15</v>
      </c>
      <c r="B177" s="28">
        <v>2027</v>
      </c>
      <c r="C177" s="28" t="s">
        <v>5</v>
      </c>
      <c r="D177" s="28" t="s">
        <v>6</v>
      </c>
      <c r="E177">
        <f>INDEX('Financials Canada'!$E$7:$N$19,MATCH(_xlfn.CONCAT('Input Data'!D177,'Input Data'!C177),'Financials Canada'!$A$7:$A$19,0),MATCH('Input Data'!B177,'Financials Canada'!$E$1:$N$1,0))</f>
        <v>7814</v>
      </c>
      <c r="F177">
        <f>VLOOKUP(_xlfn.CONCAT(A177,B177,C177),'Gross Profit &amp; EBITDA'!$D$2:$F$61,2,FALSE)*E177</f>
        <v>3907</v>
      </c>
      <c r="G177">
        <f>VLOOKUP(_xlfn.CONCAT(A177,B177,C177),'Gross Profit &amp; EBITDA'!$D$2:$F$61,3,FALSE)*E177</f>
        <v>1562.8000000000002</v>
      </c>
    </row>
    <row r="178" spans="1:7" x14ac:dyDescent="0.3">
      <c r="A178" s="28" t="s">
        <v>15</v>
      </c>
      <c r="B178" s="28">
        <v>2027</v>
      </c>
      <c r="C178" s="28" t="s">
        <v>8</v>
      </c>
      <c r="D178" s="28" t="s">
        <v>4</v>
      </c>
      <c r="E178">
        <f>INDEX('Financials Canada'!$E$7:$N$19,MATCH(_xlfn.CONCAT('Input Data'!D178,'Input Data'!C178),'Financials Canada'!$A$7:$A$19,0),MATCH('Input Data'!B178,'Financials Canada'!$E$1:$N$1,0))</f>
        <v>2150</v>
      </c>
      <c r="F178">
        <f>VLOOKUP(_xlfn.CONCAT(A178,B178,C178),'Gross Profit &amp; EBITDA'!$D$2:$F$61,2,FALSE)*E178</f>
        <v>1505.0000000000002</v>
      </c>
      <c r="G178">
        <f>VLOOKUP(_xlfn.CONCAT(A178,B178,C178),'Gross Profit &amp; EBITDA'!$D$2:$F$61,3,FALSE)*E178</f>
        <v>430</v>
      </c>
    </row>
    <row r="179" spans="1:7" x14ac:dyDescent="0.3">
      <c r="A179" s="28" t="s">
        <v>15</v>
      </c>
      <c r="B179" s="28">
        <v>2027</v>
      </c>
      <c r="C179" s="28" t="s">
        <v>8</v>
      </c>
      <c r="D179" s="28" t="s">
        <v>6</v>
      </c>
      <c r="E179">
        <f>INDEX('Financials Canada'!$E$7:$N$19,MATCH(_xlfn.CONCAT('Input Data'!D179,'Input Data'!C179),'Financials Canada'!$A$7:$A$19,0),MATCH('Input Data'!B179,'Financials Canada'!$E$1:$N$1,0))</f>
        <v>3706</v>
      </c>
      <c r="F179">
        <f>VLOOKUP(_xlfn.CONCAT(A179,B179,C179),'Gross Profit &amp; EBITDA'!$D$2:$F$61,2,FALSE)*E179</f>
        <v>2594.2000000000003</v>
      </c>
      <c r="G179">
        <f>VLOOKUP(_xlfn.CONCAT(A179,B179,C179),'Gross Profit &amp; EBITDA'!$D$2:$F$61,3,FALSE)*E179</f>
        <v>741.2</v>
      </c>
    </row>
    <row r="180" spans="1:7" x14ac:dyDescent="0.3">
      <c r="A180" s="28" t="s">
        <v>15</v>
      </c>
      <c r="B180" s="28">
        <v>2027</v>
      </c>
      <c r="C180" s="28" t="s">
        <v>9</v>
      </c>
      <c r="D180" s="28" t="s">
        <v>4</v>
      </c>
      <c r="E180">
        <f>INDEX('Financials Canada'!$E$7:$N$19,MATCH(_xlfn.CONCAT('Input Data'!D180,'Input Data'!C180),'Financials Canada'!$A$7:$A$19,0),MATCH('Input Data'!B180,'Financials Canada'!$E$1:$N$1,0))</f>
        <v>3867</v>
      </c>
      <c r="F180">
        <f>VLOOKUP(_xlfn.CONCAT(A180,B180,C180),'Gross Profit &amp; EBITDA'!$D$2:$F$61,2,FALSE)*E180</f>
        <v>2320.2000000000003</v>
      </c>
      <c r="G180">
        <f>VLOOKUP(_xlfn.CONCAT(A180,B180,C180),'Gross Profit &amp; EBITDA'!$D$2:$F$61,3,FALSE)*E180</f>
        <v>386.70000000000005</v>
      </c>
    </row>
    <row r="181" spans="1:7" x14ac:dyDescent="0.3">
      <c r="A181" s="28" t="s">
        <v>15</v>
      </c>
      <c r="B181" s="28">
        <v>2027</v>
      </c>
      <c r="C181" s="28" t="s">
        <v>9</v>
      </c>
      <c r="D181" s="28" t="s">
        <v>6</v>
      </c>
      <c r="E181">
        <f>INDEX('Financials Canada'!$E$7:$N$19,MATCH(_xlfn.CONCAT('Input Data'!D181,'Input Data'!C181),'Financials Canada'!$A$7:$A$19,0),MATCH('Input Data'!B181,'Financials Canada'!$E$1:$N$1,0))</f>
        <v>4586</v>
      </c>
      <c r="F181">
        <f>VLOOKUP(_xlfn.CONCAT(A181,B181,C181),'Gross Profit &amp; EBITDA'!$D$2:$F$61,2,FALSE)*E181</f>
        <v>2751.6000000000004</v>
      </c>
      <c r="G181">
        <f>VLOOKUP(_xlfn.CONCAT(A181,B181,C181),'Gross Profit &amp; EBITDA'!$D$2:$F$61,3,FALSE)*E181</f>
        <v>458.6</v>
      </c>
    </row>
    <row r="182" spans="1:7" x14ac:dyDescent="0.3">
      <c r="A182" s="28" t="s">
        <v>15</v>
      </c>
      <c r="B182" s="28">
        <v>2018</v>
      </c>
      <c r="C182" s="28" t="s">
        <v>5</v>
      </c>
      <c r="D182" s="28" t="s">
        <v>4</v>
      </c>
      <c r="E182">
        <f>INDEX('Financials Canada'!$E$7:$N$19,MATCH(_xlfn.CONCAT('Input Data'!D182,'Input Data'!C182),'Financials Canada'!$A$7:$A$19,0),MATCH('Input Data'!B182,'Financials Canada'!$E$1:$N$1,0))</f>
        <v>1869</v>
      </c>
      <c r="F182">
        <f>VLOOKUP(_xlfn.CONCAT(A182,B182,C182),'Gross Profit &amp; EBITDA'!$D$2:$F$61,2,FALSE)*E182</f>
        <v>1121.4000000000001</v>
      </c>
      <c r="G182">
        <f>VLOOKUP(_xlfn.CONCAT(A182,B182,C182),'Gross Profit &amp; EBITDA'!$D$2:$F$61,3,FALSE)*E182</f>
        <v>373.8</v>
      </c>
    </row>
    <row r="183" spans="1:7" x14ac:dyDescent="0.3">
      <c r="A183" s="28" t="s">
        <v>15</v>
      </c>
      <c r="B183" s="28">
        <v>2018</v>
      </c>
      <c r="C183" s="28" t="s">
        <v>5</v>
      </c>
      <c r="D183" s="28" t="s">
        <v>6</v>
      </c>
      <c r="E183">
        <f>INDEX('Financials Canada'!$E$7:$N$19,MATCH(_xlfn.CONCAT('Input Data'!D183,'Input Data'!C183),'Financials Canada'!$A$7:$A$19,0),MATCH('Input Data'!B183,'Financials Canada'!$E$1:$N$1,0))</f>
        <v>7987</v>
      </c>
      <c r="F183">
        <f>VLOOKUP(_xlfn.CONCAT(A183,B183,C183),'Gross Profit &amp; EBITDA'!$D$2:$F$61,2,FALSE)*E183</f>
        <v>4792.2000000000007</v>
      </c>
      <c r="G183">
        <f>VLOOKUP(_xlfn.CONCAT(A183,B183,C183),'Gross Profit &amp; EBITDA'!$D$2:$F$61,3,FALSE)*E183</f>
        <v>1597.4</v>
      </c>
    </row>
    <row r="184" spans="1:7" x14ac:dyDescent="0.3">
      <c r="A184" s="28" t="s">
        <v>15</v>
      </c>
      <c r="B184" s="28">
        <v>2018</v>
      </c>
      <c r="C184" s="28" t="s">
        <v>8</v>
      </c>
      <c r="D184" s="28" t="s">
        <v>4</v>
      </c>
      <c r="E184">
        <f>INDEX('Financials Canada'!$E$7:$N$19,MATCH(_xlfn.CONCAT('Input Data'!D184,'Input Data'!C184),'Financials Canada'!$A$7:$A$19,0),MATCH('Input Data'!B184,'Financials Canada'!$E$1:$N$1,0))</f>
        <v>2184</v>
      </c>
      <c r="F184">
        <f>VLOOKUP(_xlfn.CONCAT(A184,B184,C184),'Gross Profit &amp; EBITDA'!$D$2:$F$61,2,FALSE)*E184</f>
        <v>1747.2</v>
      </c>
      <c r="G184">
        <f>VLOOKUP(_xlfn.CONCAT(A184,B184,C184),'Gross Profit &amp; EBITDA'!$D$2:$F$61,3,FALSE)*E184</f>
        <v>218.4</v>
      </c>
    </row>
    <row r="185" spans="1:7" x14ac:dyDescent="0.3">
      <c r="A185" s="28" t="s">
        <v>15</v>
      </c>
      <c r="B185" s="28">
        <v>2018</v>
      </c>
      <c r="C185" s="28" t="s">
        <v>8</v>
      </c>
      <c r="D185" s="28" t="s">
        <v>6</v>
      </c>
      <c r="E185">
        <f>INDEX('Financials Canada'!$E$7:$N$19,MATCH(_xlfn.CONCAT('Input Data'!D185,'Input Data'!C185),'Financials Canada'!$A$7:$A$19,0),MATCH('Input Data'!B185,'Financials Canada'!$E$1:$N$1,0))</f>
        <v>3902</v>
      </c>
      <c r="F185">
        <f>VLOOKUP(_xlfn.CONCAT(A185,B185,C185),'Gross Profit &amp; EBITDA'!$D$2:$F$61,2,FALSE)*E185</f>
        <v>3121.6000000000004</v>
      </c>
      <c r="G185">
        <f>VLOOKUP(_xlfn.CONCAT(A185,B185,C185),'Gross Profit &amp; EBITDA'!$D$2:$F$61,3,FALSE)*E185</f>
        <v>390.20000000000005</v>
      </c>
    </row>
    <row r="186" spans="1:7" x14ac:dyDescent="0.3">
      <c r="A186" s="28" t="s">
        <v>15</v>
      </c>
      <c r="B186" s="28">
        <v>2018</v>
      </c>
      <c r="C186" s="28" t="s">
        <v>9</v>
      </c>
      <c r="D186" s="28" t="s">
        <v>4</v>
      </c>
      <c r="E186">
        <f>INDEX('Financials Canada'!$E$7:$N$19,MATCH(_xlfn.CONCAT('Input Data'!D186,'Input Data'!C186),'Financials Canada'!$A$7:$A$19,0),MATCH('Input Data'!B186,'Financials Canada'!$E$1:$N$1,0))</f>
        <v>684</v>
      </c>
      <c r="F186">
        <f>VLOOKUP(_xlfn.CONCAT(A186,B186,C186),'Gross Profit &amp; EBITDA'!$D$2:$F$61,2,FALSE)*E186</f>
        <v>547.20000000000005</v>
      </c>
      <c r="G186">
        <f>VLOOKUP(_xlfn.CONCAT(A186,B186,C186),'Gross Profit &amp; EBITDA'!$D$2:$F$61,3,FALSE)*E186</f>
        <v>136.80000000000001</v>
      </c>
    </row>
    <row r="187" spans="1:7" x14ac:dyDescent="0.3">
      <c r="A187" s="28" t="s">
        <v>15</v>
      </c>
      <c r="B187" s="28">
        <v>2018</v>
      </c>
      <c r="C187" s="28" t="s">
        <v>9</v>
      </c>
      <c r="D187" s="28" t="s">
        <v>6</v>
      </c>
      <c r="E187">
        <f>INDEX('Financials Canada'!$E$7:$N$19,MATCH(_xlfn.CONCAT('Input Data'!D187,'Input Data'!C187),'Financials Canada'!$A$7:$A$19,0),MATCH('Input Data'!B187,'Financials Canada'!$E$1:$N$1,0))</f>
        <v>4549</v>
      </c>
      <c r="F187">
        <f>VLOOKUP(_xlfn.CONCAT(A187,B187,C187),'Gross Profit &amp; EBITDA'!$D$2:$F$61,2,FALSE)*E187</f>
        <v>3639.2000000000003</v>
      </c>
      <c r="G187">
        <f>VLOOKUP(_xlfn.CONCAT(A187,B187,C187),'Gross Profit &amp; EBITDA'!$D$2:$F$61,3,FALSE)*E187</f>
        <v>909.80000000000007</v>
      </c>
    </row>
    <row r="188" spans="1:7" x14ac:dyDescent="0.3">
      <c r="A188" s="28" t="s">
        <v>15</v>
      </c>
      <c r="B188" s="28">
        <v>2019</v>
      </c>
      <c r="C188" s="28" t="s">
        <v>5</v>
      </c>
      <c r="D188" s="28" t="s">
        <v>4</v>
      </c>
      <c r="E188">
        <f>INDEX('Financials Canada'!$E$7:$N$19,MATCH(_xlfn.CONCAT('Input Data'!D188,'Input Data'!C188),'Financials Canada'!$A$7:$A$19,0),MATCH('Input Data'!B188,'Financials Canada'!$E$1:$N$1,0))</f>
        <v>3211</v>
      </c>
      <c r="F188">
        <f>VLOOKUP(_xlfn.CONCAT(A188,B188,C188),'Gross Profit &amp; EBITDA'!$D$2:$F$61,2,FALSE)*E188</f>
        <v>1926.6000000000004</v>
      </c>
      <c r="G188">
        <f>VLOOKUP(_xlfn.CONCAT(A188,B188,C188),'Gross Profit &amp; EBITDA'!$D$2:$F$61,3,FALSE)*E188</f>
        <v>642.20000000000005</v>
      </c>
    </row>
    <row r="189" spans="1:7" x14ac:dyDescent="0.3">
      <c r="A189" s="28" t="s">
        <v>15</v>
      </c>
      <c r="B189" s="28">
        <v>2019</v>
      </c>
      <c r="C189" s="28" t="s">
        <v>5</v>
      </c>
      <c r="D189" s="28" t="s">
        <v>6</v>
      </c>
      <c r="E189">
        <f>INDEX('Financials Canada'!$E$7:$N$19,MATCH(_xlfn.CONCAT('Input Data'!D189,'Input Data'!C189),'Financials Canada'!$A$7:$A$19,0),MATCH('Input Data'!B189,'Financials Canada'!$E$1:$N$1,0))</f>
        <v>7978</v>
      </c>
      <c r="F189">
        <f>VLOOKUP(_xlfn.CONCAT(A189,B189,C189),'Gross Profit &amp; EBITDA'!$D$2:$F$61,2,FALSE)*E189</f>
        <v>4786.8000000000011</v>
      </c>
      <c r="G189">
        <f>VLOOKUP(_xlfn.CONCAT(A189,B189,C189),'Gross Profit &amp; EBITDA'!$D$2:$F$61,3,FALSE)*E189</f>
        <v>1595.6000000000001</v>
      </c>
    </row>
    <row r="190" spans="1:7" x14ac:dyDescent="0.3">
      <c r="A190" s="28" t="s">
        <v>15</v>
      </c>
      <c r="B190" s="28">
        <v>2019</v>
      </c>
      <c r="C190" s="28" t="s">
        <v>8</v>
      </c>
      <c r="D190" s="28" t="s">
        <v>4</v>
      </c>
      <c r="E190">
        <f>INDEX('Financials Canada'!$E$7:$N$19,MATCH(_xlfn.CONCAT('Input Data'!D190,'Input Data'!C190),'Financials Canada'!$A$7:$A$19,0),MATCH('Input Data'!B190,'Financials Canada'!$E$1:$N$1,0))</f>
        <v>1395</v>
      </c>
      <c r="F190">
        <f>VLOOKUP(_xlfn.CONCAT(A190,B190,C190),'Gross Profit &amp; EBITDA'!$D$2:$F$61,2,FALSE)*E190</f>
        <v>976.50000000000011</v>
      </c>
      <c r="G190">
        <f>VLOOKUP(_xlfn.CONCAT(A190,B190,C190),'Gross Profit &amp; EBITDA'!$D$2:$F$61,3,FALSE)*E190</f>
        <v>139.5</v>
      </c>
    </row>
    <row r="191" spans="1:7" x14ac:dyDescent="0.3">
      <c r="A191" s="28" t="s">
        <v>15</v>
      </c>
      <c r="B191" s="28">
        <v>2019</v>
      </c>
      <c r="C191" s="28" t="s">
        <v>8</v>
      </c>
      <c r="D191" s="28" t="s">
        <v>6</v>
      </c>
      <c r="E191">
        <f>INDEX('Financials Canada'!$E$7:$N$19,MATCH(_xlfn.CONCAT('Input Data'!D191,'Input Data'!C191),'Financials Canada'!$A$7:$A$19,0),MATCH('Input Data'!B191,'Financials Canada'!$E$1:$N$1,0))</f>
        <v>3286</v>
      </c>
      <c r="F191">
        <f>VLOOKUP(_xlfn.CONCAT(A191,B191,C191),'Gross Profit &amp; EBITDA'!$D$2:$F$61,2,FALSE)*E191</f>
        <v>2300.2000000000003</v>
      </c>
      <c r="G191">
        <f>VLOOKUP(_xlfn.CONCAT(A191,B191,C191),'Gross Profit &amp; EBITDA'!$D$2:$F$61,3,FALSE)*E191</f>
        <v>328.6</v>
      </c>
    </row>
    <row r="192" spans="1:7" x14ac:dyDescent="0.3">
      <c r="A192" s="28" t="s">
        <v>15</v>
      </c>
      <c r="B192" s="28">
        <v>2019</v>
      </c>
      <c r="C192" s="28" t="s">
        <v>9</v>
      </c>
      <c r="D192" s="28" t="s">
        <v>4</v>
      </c>
      <c r="E192">
        <f>INDEX('Financials Canada'!$E$7:$N$19,MATCH(_xlfn.CONCAT('Input Data'!D192,'Input Data'!C192),'Financials Canada'!$A$7:$A$19,0),MATCH('Input Data'!B192,'Financials Canada'!$E$1:$N$1,0))</f>
        <v>2947</v>
      </c>
      <c r="F192">
        <f>VLOOKUP(_xlfn.CONCAT(A192,B192,C192),'Gross Profit &amp; EBITDA'!$D$2:$F$61,2,FALSE)*E192</f>
        <v>1473.5</v>
      </c>
      <c r="G192">
        <f>VLOOKUP(_xlfn.CONCAT(A192,B192,C192),'Gross Profit &amp; EBITDA'!$D$2:$F$61,3,FALSE)*E192</f>
        <v>589.4</v>
      </c>
    </row>
    <row r="193" spans="1:7" x14ac:dyDescent="0.3">
      <c r="A193" s="28" t="s">
        <v>15</v>
      </c>
      <c r="B193" s="28">
        <v>2019</v>
      </c>
      <c r="C193" s="28" t="s">
        <v>9</v>
      </c>
      <c r="D193" s="28" t="s">
        <v>6</v>
      </c>
      <c r="E193">
        <f>INDEX('Financials Canada'!$E$7:$N$19,MATCH(_xlfn.CONCAT('Input Data'!D193,'Input Data'!C193),'Financials Canada'!$A$7:$A$19,0),MATCH('Input Data'!B193,'Financials Canada'!$E$1:$N$1,0))</f>
        <v>2187</v>
      </c>
      <c r="F193">
        <f>VLOOKUP(_xlfn.CONCAT(A193,B193,C193),'Gross Profit &amp; EBITDA'!$D$2:$F$61,2,FALSE)*E193</f>
        <v>1093.5</v>
      </c>
      <c r="G193">
        <f>VLOOKUP(_xlfn.CONCAT(A193,B193,C193),'Gross Profit &amp; EBITDA'!$D$2:$F$61,3,FALSE)*E193</f>
        <v>437.40000000000003</v>
      </c>
    </row>
    <row r="194" spans="1:7" x14ac:dyDescent="0.3">
      <c r="A194" s="28" t="s">
        <v>15</v>
      </c>
      <c r="B194" s="28">
        <v>2020</v>
      </c>
      <c r="C194" s="28" t="s">
        <v>5</v>
      </c>
      <c r="D194" s="28" t="s">
        <v>4</v>
      </c>
      <c r="E194">
        <f>INDEX('Financials Canada'!$E$7:$N$19,MATCH(_xlfn.CONCAT('Input Data'!D194,'Input Data'!C194),'Financials Canada'!$A$7:$A$19,0),MATCH('Input Data'!B194,'Financials Canada'!$E$1:$N$1,0))</f>
        <v>2405</v>
      </c>
      <c r="F194">
        <f>VLOOKUP(_xlfn.CONCAT(A194,B194,C194),'Gross Profit &amp; EBITDA'!$D$2:$F$61,2,FALSE)*E194</f>
        <v>1683.5000000000002</v>
      </c>
      <c r="G194">
        <f>VLOOKUP(_xlfn.CONCAT(A194,B194,C194),'Gross Profit &amp; EBITDA'!$D$2:$F$61,3,FALSE)*E194</f>
        <v>481</v>
      </c>
    </row>
    <row r="195" spans="1:7" x14ac:dyDescent="0.3">
      <c r="A195" s="28" t="s">
        <v>15</v>
      </c>
      <c r="B195" s="28">
        <v>2020</v>
      </c>
      <c r="C195" s="28" t="s">
        <v>5</v>
      </c>
      <c r="D195" s="28" t="s">
        <v>4</v>
      </c>
      <c r="E195">
        <f>INDEX('Financials Canada'!$E$7:$N$19,MATCH(_xlfn.CONCAT('Input Data'!D195,'Input Data'!C195),'Financials Canada'!$A$7:$A$19,0),MATCH('Input Data'!B195,'Financials Canada'!$E$1:$N$1,0))</f>
        <v>2405</v>
      </c>
      <c r="F195">
        <f>VLOOKUP(_xlfn.CONCAT(A195,B195,C195),'Gross Profit &amp; EBITDA'!$D$2:$F$61,2,FALSE)*E195</f>
        <v>1683.5000000000002</v>
      </c>
      <c r="G195">
        <f>VLOOKUP(_xlfn.CONCAT(A195,B195,C195),'Gross Profit &amp; EBITDA'!$D$2:$F$61,3,FALSE)*E195</f>
        <v>481</v>
      </c>
    </row>
    <row r="196" spans="1:7" x14ac:dyDescent="0.3">
      <c r="A196" s="28" t="s">
        <v>15</v>
      </c>
      <c r="B196" s="28">
        <v>2020</v>
      </c>
      <c r="C196" s="28" t="s">
        <v>8</v>
      </c>
      <c r="D196" s="28" t="s">
        <v>6</v>
      </c>
      <c r="E196">
        <f>INDEX('Financials Canada'!$E$7:$N$19,MATCH(_xlfn.CONCAT('Input Data'!D196,'Input Data'!C196),'Financials Canada'!$A$7:$A$19,0),MATCH('Input Data'!B196,'Financials Canada'!$E$1:$N$1,0))</f>
        <v>2912</v>
      </c>
      <c r="F196">
        <f>VLOOKUP(_xlfn.CONCAT(A196,B196,C196),'Gross Profit &amp; EBITDA'!$D$2:$F$61,2,FALSE)*E196</f>
        <v>1747.2000000000003</v>
      </c>
      <c r="G196">
        <f>VLOOKUP(_xlfn.CONCAT(A196,B196,C196),'Gross Profit &amp; EBITDA'!$D$2:$F$61,3,FALSE)*E196</f>
        <v>291.2</v>
      </c>
    </row>
    <row r="197" spans="1:7" x14ac:dyDescent="0.3">
      <c r="A197" s="28" t="s">
        <v>15</v>
      </c>
      <c r="B197" s="28">
        <v>2020</v>
      </c>
      <c r="C197" s="28" t="s">
        <v>8</v>
      </c>
      <c r="D197" s="28" t="s">
        <v>4</v>
      </c>
      <c r="E197">
        <f>INDEX('Financials Canada'!$E$7:$N$19,MATCH(_xlfn.CONCAT('Input Data'!D197,'Input Data'!C197),'Financials Canada'!$A$7:$A$19,0),MATCH('Input Data'!B197,'Financials Canada'!$E$1:$N$1,0))</f>
        <v>1625</v>
      </c>
      <c r="F197">
        <f>VLOOKUP(_xlfn.CONCAT(A197,B197,C197),'Gross Profit &amp; EBITDA'!$D$2:$F$61,2,FALSE)*E197</f>
        <v>975.00000000000011</v>
      </c>
      <c r="G197">
        <f>VLOOKUP(_xlfn.CONCAT(A197,B197,C197),'Gross Profit &amp; EBITDA'!$D$2:$F$61,3,FALSE)*E197</f>
        <v>162.5</v>
      </c>
    </row>
    <row r="198" spans="1:7" x14ac:dyDescent="0.3">
      <c r="A198" s="28" t="s">
        <v>15</v>
      </c>
      <c r="B198" s="28">
        <v>2020</v>
      </c>
      <c r="C198" s="28" t="s">
        <v>9</v>
      </c>
      <c r="D198" s="28" t="s">
        <v>6</v>
      </c>
      <c r="E198">
        <f>INDEX('Financials Canada'!$E$7:$N$19,MATCH(_xlfn.CONCAT('Input Data'!D198,'Input Data'!C198),'Financials Canada'!$A$7:$A$19,0),MATCH('Input Data'!B198,'Financials Canada'!$E$1:$N$1,0))</f>
        <v>6203</v>
      </c>
      <c r="F198">
        <f>VLOOKUP(_xlfn.CONCAT(A198,B198,C198),'Gross Profit &amp; EBITDA'!$D$2:$F$61,2,FALSE)*E198</f>
        <v>4342.1000000000004</v>
      </c>
      <c r="G198">
        <f>VLOOKUP(_xlfn.CONCAT(A198,B198,C198),'Gross Profit &amp; EBITDA'!$D$2:$F$61,3,FALSE)*E198</f>
        <v>1240.6000000000001</v>
      </c>
    </row>
    <row r="199" spans="1:7" x14ac:dyDescent="0.3">
      <c r="A199" s="28" t="s">
        <v>15</v>
      </c>
      <c r="B199" s="28">
        <v>2020</v>
      </c>
      <c r="C199" s="28" t="s">
        <v>9</v>
      </c>
      <c r="D199" s="28" t="s">
        <v>4</v>
      </c>
      <c r="E199">
        <f>INDEX('Financials Canada'!$E$7:$N$19,MATCH(_xlfn.CONCAT('Input Data'!D199,'Input Data'!C199),'Financials Canada'!$A$7:$A$19,0),MATCH('Input Data'!B199,'Financials Canada'!$E$1:$N$1,0))</f>
        <v>1690</v>
      </c>
      <c r="F199">
        <f>VLOOKUP(_xlfn.CONCAT(A199,B199,C199),'Gross Profit &amp; EBITDA'!$D$2:$F$61,2,FALSE)*E199</f>
        <v>1183</v>
      </c>
      <c r="G199">
        <f>VLOOKUP(_xlfn.CONCAT(A199,B199,C199),'Gross Profit &amp; EBITDA'!$D$2:$F$61,3,FALSE)*E199</f>
        <v>338</v>
      </c>
    </row>
    <row r="200" spans="1:7" x14ac:dyDescent="0.3">
      <c r="A200" s="28" t="s">
        <v>15</v>
      </c>
      <c r="B200" s="28">
        <v>2021</v>
      </c>
      <c r="C200" s="28" t="s">
        <v>5</v>
      </c>
      <c r="D200" s="28" t="s">
        <v>6</v>
      </c>
      <c r="E200">
        <f>INDEX('Financials Canada'!$E$7:$N$19,MATCH(_xlfn.CONCAT('Input Data'!D200,'Input Data'!C200),'Financials Canada'!$A$7:$A$19,0),MATCH('Input Data'!B200,'Financials Canada'!$E$1:$N$1,0))</f>
        <v>5075</v>
      </c>
      <c r="F200">
        <f>VLOOKUP(_xlfn.CONCAT(A200,B200,C200),'Gross Profit &amp; EBITDA'!$D$2:$F$61,2,FALSE)*E200</f>
        <v>3045.0000000000005</v>
      </c>
      <c r="G200">
        <f>VLOOKUP(_xlfn.CONCAT(A200,B200,C200),'Gross Profit &amp; EBITDA'!$D$2:$F$61,3,FALSE)*E200</f>
        <v>1015</v>
      </c>
    </row>
    <row r="201" spans="1:7" x14ac:dyDescent="0.3">
      <c r="A201" s="28" t="s">
        <v>15</v>
      </c>
      <c r="B201" s="28">
        <v>2021</v>
      </c>
      <c r="C201" s="28" t="s">
        <v>5</v>
      </c>
      <c r="D201" s="28" t="s">
        <v>4</v>
      </c>
      <c r="E201">
        <f>INDEX('Financials Canada'!$E$7:$N$19,MATCH(_xlfn.CONCAT('Input Data'!D201,'Input Data'!C201),'Financials Canada'!$A$7:$A$19,0),MATCH('Input Data'!B201,'Financials Canada'!$E$1:$N$1,0))</f>
        <v>2490</v>
      </c>
      <c r="F201">
        <f>VLOOKUP(_xlfn.CONCAT(A201,B201,C201),'Gross Profit &amp; EBITDA'!$D$2:$F$61,2,FALSE)*E201</f>
        <v>1494.0000000000002</v>
      </c>
      <c r="G201">
        <f>VLOOKUP(_xlfn.CONCAT(A201,B201,C201),'Gross Profit &amp; EBITDA'!$D$2:$F$61,3,FALSE)*E201</f>
        <v>498</v>
      </c>
    </row>
    <row r="202" spans="1:7" x14ac:dyDescent="0.3">
      <c r="A202" s="28" t="s">
        <v>15</v>
      </c>
      <c r="B202" s="28">
        <v>2021</v>
      </c>
      <c r="C202" s="28" t="s">
        <v>8</v>
      </c>
      <c r="D202" s="28" t="s">
        <v>6</v>
      </c>
      <c r="E202">
        <f>INDEX('Financials Canada'!$E$7:$N$19,MATCH(_xlfn.CONCAT('Input Data'!D202,'Input Data'!C202),'Financials Canada'!$A$7:$A$19,0),MATCH('Input Data'!B202,'Financials Canada'!$E$1:$N$1,0))</f>
        <v>4586</v>
      </c>
      <c r="F202">
        <f>VLOOKUP(_xlfn.CONCAT(A202,B202,C202),'Gross Profit &amp; EBITDA'!$D$2:$F$61,2,FALSE)*E202</f>
        <v>2293</v>
      </c>
      <c r="G202">
        <f>VLOOKUP(_xlfn.CONCAT(A202,B202,C202),'Gross Profit &amp; EBITDA'!$D$2:$F$61,3,FALSE)*E202</f>
        <v>917.2</v>
      </c>
    </row>
    <row r="203" spans="1:7" x14ac:dyDescent="0.3">
      <c r="A203" s="28" t="s">
        <v>15</v>
      </c>
      <c r="B203" s="28">
        <v>2021</v>
      </c>
      <c r="C203" s="28" t="s">
        <v>8</v>
      </c>
      <c r="D203" s="28" t="s">
        <v>4</v>
      </c>
      <c r="E203">
        <f>INDEX('Financials Canada'!$E$7:$N$19,MATCH(_xlfn.CONCAT('Input Data'!D203,'Input Data'!C203),'Financials Canada'!$A$7:$A$19,0),MATCH('Input Data'!B203,'Financials Canada'!$E$1:$N$1,0))</f>
        <v>1710</v>
      </c>
      <c r="F203">
        <f>VLOOKUP(_xlfn.CONCAT(A203,B203,C203),'Gross Profit &amp; EBITDA'!$D$2:$F$61,2,FALSE)*E203</f>
        <v>855</v>
      </c>
      <c r="G203">
        <f>VLOOKUP(_xlfn.CONCAT(A203,B203,C203),'Gross Profit &amp; EBITDA'!$D$2:$F$61,3,FALSE)*E203</f>
        <v>342</v>
      </c>
    </row>
    <row r="204" spans="1:7" x14ac:dyDescent="0.3">
      <c r="A204" s="28" t="s">
        <v>15</v>
      </c>
      <c r="B204" s="28">
        <v>2021</v>
      </c>
      <c r="C204" s="28" t="s">
        <v>9</v>
      </c>
      <c r="D204" s="28" t="s">
        <v>6</v>
      </c>
      <c r="E204">
        <f>INDEX('Financials Canada'!$E$7:$N$19,MATCH(_xlfn.CONCAT('Input Data'!D204,'Input Data'!C204),'Financials Canada'!$A$7:$A$19,0),MATCH('Input Data'!B204,'Financials Canada'!$E$1:$N$1,0))</f>
        <v>1126</v>
      </c>
      <c r="F204">
        <f>VLOOKUP(_xlfn.CONCAT(A204,B204,C204),'Gross Profit &amp; EBITDA'!$D$2:$F$61,2,FALSE)*E204</f>
        <v>900.80000000000007</v>
      </c>
      <c r="G204">
        <f>VLOOKUP(_xlfn.CONCAT(A204,B204,C204),'Gross Profit &amp; EBITDA'!$D$2:$F$61,3,FALSE)*E204</f>
        <v>225.20000000000002</v>
      </c>
    </row>
    <row r="205" spans="1:7" x14ac:dyDescent="0.3">
      <c r="A205" s="28" t="s">
        <v>15</v>
      </c>
      <c r="B205" s="28">
        <v>2021</v>
      </c>
      <c r="C205" s="28" t="s">
        <v>9</v>
      </c>
      <c r="D205" s="28" t="s">
        <v>4</v>
      </c>
      <c r="E205">
        <f>INDEX('Financials Canada'!$E$7:$N$19,MATCH(_xlfn.CONCAT('Input Data'!D205,'Input Data'!C205),'Financials Canada'!$A$7:$A$19,0),MATCH('Input Data'!B205,'Financials Canada'!$E$1:$N$1,0))</f>
        <v>1626</v>
      </c>
      <c r="F205">
        <f>VLOOKUP(_xlfn.CONCAT(A205,B205,C205),'Gross Profit &amp; EBITDA'!$D$2:$F$61,2,FALSE)*E205</f>
        <v>1300.8000000000002</v>
      </c>
      <c r="G205">
        <f>VLOOKUP(_xlfn.CONCAT(A205,B205,C205),'Gross Profit &amp; EBITDA'!$D$2:$F$61,3,FALSE)*E205</f>
        <v>325.20000000000005</v>
      </c>
    </row>
    <row r="206" spans="1:7" x14ac:dyDescent="0.3">
      <c r="A206" s="28" t="s">
        <v>15</v>
      </c>
      <c r="B206" s="28">
        <v>2022</v>
      </c>
      <c r="C206" s="28" t="s">
        <v>5</v>
      </c>
      <c r="D206" s="28" t="s">
        <v>6</v>
      </c>
      <c r="E206">
        <f>INDEX('Financials Canada'!$E$7:$N$19,MATCH(_xlfn.CONCAT('Input Data'!D206,'Input Data'!C206),'Financials Canada'!$A$7:$A$19,0),MATCH('Input Data'!B206,'Financials Canada'!$E$1:$N$1,0))</f>
        <v>7242</v>
      </c>
      <c r="F206">
        <f>VLOOKUP(_xlfn.CONCAT(A206,B206,C206),'Gross Profit &amp; EBITDA'!$D$2:$F$61,2,FALSE)*E206</f>
        <v>5069.4000000000005</v>
      </c>
      <c r="G206">
        <f>VLOOKUP(_xlfn.CONCAT(A206,B206,C206),'Gross Profit &amp; EBITDA'!$D$2:$F$61,3,FALSE)*E206</f>
        <v>1448.4</v>
      </c>
    </row>
    <row r="207" spans="1:7" x14ac:dyDescent="0.3">
      <c r="A207" s="28" t="s">
        <v>15</v>
      </c>
      <c r="B207" s="28">
        <v>2022</v>
      </c>
      <c r="C207" s="28" t="s">
        <v>5</v>
      </c>
      <c r="D207" s="28" t="s">
        <v>4</v>
      </c>
      <c r="E207">
        <f>INDEX('Financials Canada'!$E$7:$N$19,MATCH(_xlfn.CONCAT('Input Data'!D207,'Input Data'!C207),'Financials Canada'!$A$7:$A$19,0),MATCH('Input Data'!B207,'Financials Canada'!$E$1:$N$1,0))</f>
        <v>3789</v>
      </c>
      <c r="F207">
        <f>VLOOKUP(_xlfn.CONCAT(A207,B207,C207),'Gross Profit &amp; EBITDA'!$D$2:$F$61,2,FALSE)*E207</f>
        <v>2652.3</v>
      </c>
      <c r="G207">
        <f>VLOOKUP(_xlfn.CONCAT(A207,B207,C207),'Gross Profit &amp; EBITDA'!$D$2:$F$61,3,FALSE)*E207</f>
        <v>757.80000000000007</v>
      </c>
    </row>
    <row r="208" spans="1:7" x14ac:dyDescent="0.3">
      <c r="A208" s="28" t="s">
        <v>15</v>
      </c>
      <c r="B208" s="28">
        <v>2022</v>
      </c>
      <c r="C208" s="28" t="s">
        <v>8</v>
      </c>
      <c r="D208" s="28" t="s">
        <v>6</v>
      </c>
      <c r="E208">
        <f>INDEX('Financials Canada'!$E$7:$N$19,MATCH(_xlfn.CONCAT('Input Data'!D208,'Input Data'!C208),'Financials Canada'!$A$7:$A$19,0),MATCH('Input Data'!B208,'Financials Canada'!$E$1:$N$1,0))</f>
        <v>2666</v>
      </c>
      <c r="F208">
        <f>VLOOKUP(_xlfn.CONCAT(A208,B208,C208),'Gross Profit &amp; EBITDA'!$D$2:$F$61,2,FALSE)*E208</f>
        <v>1333</v>
      </c>
      <c r="G208">
        <f>VLOOKUP(_xlfn.CONCAT(A208,B208,C208),'Gross Profit &amp; EBITDA'!$D$2:$F$61,3,FALSE)*E208</f>
        <v>533.20000000000005</v>
      </c>
    </row>
    <row r="209" spans="1:7" x14ac:dyDescent="0.3">
      <c r="A209" s="28" t="s">
        <v>15</v>
      </c>
      <c r="B209" s="28">
        <v>2022</v>
      </c>
      <c r="C209" s="28" t="s">
        <v>8</v>
      </c>
      <c r="D209" s="28" t="s">
        <v>4</v>
      </c>
      <c r="E209">
        <f>INDEX('Financials Canada'!$E$7:$N$19,MATCH(_xlfn.CONCAT('Input Data'!D209,'Input Data'!C209),'Financials Canada'!$A$7:$A$19,0),MATCH('Input Data'!B209,'Financials Canada'!$E$1:$N$1,0))</f>
        <v>1738</v>
      </c>
      <c r="F209">
        <f>VLOOKUP(_xlfn.CONCAT(A209,B209,C209),'Gross Profit &amp; EBITDA'!$D$2:$F$61,2,FALSE)*E209</f>
        <v>869</v>
      </c>
      <c r="G209">
        <f>VLOOKUP(_xlfn.CONCAT(A209,B209,C209),'Gross Profit &amp; EBITDA'!$D$2:$F$61,3,FALSE)*E209</f>
        <v>347.6</v>
      </c>
    </row>
    <row r="210" spans="1:7" x14ac:dyDescent="0.3">
      <c r="A210" s="28" t="s">
        <v>15</v>
      </c>
      <c r="B210" s="28">
        <v>2022</v>
      </c>
      <c r="C210" s="28" t="s">
        <v>9</v>
      </c>
      <c r="D210" s="28" t="s">
        <v>6</v>
      </c>
      <c r="E210">
        <f>INDEX('Financials Canada'!$E$7:$N$19,MATCH(_xlfn.CONCAT('Input Data'!D210,'Input Data'!C210),'Financials Canada'!$A$7:$A$19,0),MATCH('Input Data'!B210,'Financials Canada'!$E$1:$N$1,0))</f>
        <v>4690</v>
      </c>
      <c r="F210">
        <f>VLOOKUP(_xlfn.CONCAT(A210,B210,C210),'Gross Profit &amp; EBITDA'!$D$2:$F$61,2,FALSE)*E210</f>
        <v>2345</v>
      </c>
      <c r="G210">
        <f>VLOOKUP(_xlfn.CONCAT(A210,B210,C210),'Gross Profit &amp; EBITDA'!$D$2:$F$61,3,FALSE)*E210</f>
        <v>469</v>
      </c>
    </row>
    <row r="211" spans="1:7" x14ac:dyDescent="0.3">
      <c r="A211" s="28" t="s">
        <v>15</v>
      </c>
      <c r="B211" s="28">
        <v>2022</v>
      </c>
      <c r="C211" s="28" t="s">
        <v>9</v>
      </c>
      <c r="D211" s="28" t="s">
        <v>4</v>
      </c>
      <c r="E211">
        <f>INDEX('Financials Canada'!$E$7:$N$19,MATCH(_xlfn.CONCAT('Input Data'!D211,'Input Data'!C211),'Financials Canada'!$A$7:$A$19,0),MATCH('Input Data'!B211,'Financials Canada'!$E$1:$N$1,0))</f>
        <v>3515</v>
      </c>
      <c r="F211">
        <f>VLOOKUP(_xlfn.CONCAT(A211,B211,C211),'Gross Profit &amp; EBITDA'!$D$2:$F$61,2,FALSE)*E211</f>
        <v>1757.5</v>
      </c>
      <c r="G211">
        <f>VLOOKUP(_xlfn.CONCAT(A211,B211,C211),'Gross Profit &amp; EBITDA'!$D$2:$F$61,3,FALSE)*E211</f>
        <v>351.5</v>
      </c>
    </row>
    <row r="212" spans="1:7" x14ac:dyDescent="0.3">
      <c r="A212" s="28" t="s">
        <v>15</v>
      </c>
      <c r="B212" s="28">
        <v>2023</v>
      </c>
      <c r="C212" s="28" t="s">
        <v>5</v>
      </c>
      <c r="D212" s="28" t="s">
        <v>6</v>
      </c>
      <c r="E212">
        <f>INDEX('Financials Canada'!$E$7:$N$19,MATCH(_xlfn.CONCAT('Input Data'!D212,'Input Data'!C212),'Financials Canada'!$A$7:$A$19,0),MATCH('Input Data'!B212,'Financials Canada'!$E$1:$N$1,0))</f>
        <v>9330</v>
      </c>
      <c r="F212">
        <f>VLOOKUP(_xlfn.CONCAT(A212,B212,C212),'Gross Profit &amp; EBITDA'!$D$2:$F$61,2,FALSE)*E212</f>
        <v>6531.0000000000009</v>
      </c>
      <c r="G212">
        <f>VLOOKUP(_xlfn.CONCAT(A212,B212,C212),'Gross Profit &amp; EBITDA'!$D$2:$F$61,3,FALSE)*E212</f>
        <v>1866</v>
      </c>
    </row>
    <row r="213" spans="1:7" x14ac:dyDescent="0.3">
      <c r="A213" s="28" t="s">
        <v>15</v>
      </c>
      <c r="B213" s="28">
        <v>2023</v>
      </c>
      <c r="C213" s="28" t="s">
        <v>5</v>
      </c>
      <c r="D213" s="28" t="s">
        <v>4</v>
      </c>
      <c r="E213">
        <f>INDEX('Financials Canada'!$E$7:$N$19,MATCH(_xlfn.CONCAT('Input Data'!D213,'Input Data'!C213),'Financials Canada'!$A$7:$A$19,0),MATCH('Input Data'!B213,'Financials Canada'!$E$1:$N$1,0))</f>
        <v>2298</v>
      </c>
      <c r="F213">
        <f>VLOOKUP(_xlfn.CONCAT(A213,B213,C213),'Gross Profit &amp; EBITDA'!$D$2:$F$61,2,FALSE)*E213</f>
        <v>1608.6000000000001</v>
      </c>
      <c r="G213">
        <f>VLOOKUP(_xlfn.CONCAT(A213,B213,C213),'Gross Profit &amp; EBITDA'!$D$2:$F$61,3,FALSE)*E213</f>
        <v>459.6</v>
      </c>
    </row>
    <row r="214" spans="1:7" x14ac:dyDescent="0.3">
      <c r="A214" s="28" t="s">
        <v>15</v>
      </c>
      <c r="B214" s="28">
        <v>2023</v>
      </c>
      <c r="C214" s="28" t="s">
        <v>8</v>
      </c>
      <c r="D214" s="28" t="s">
        <v>6</v>
      </c>
      <c r="E214">
        <f>INDEX('Financials Canada'!$E$7:$N$19,MATCH(_xlfn.CONCAT('Input Data'!D214,'Input Data'!C214),'Financials Canada'!$A$7:$A$19,0),MATCH('Input Data'!B214,'Financials Canada'!$E$1:$N$1,0))</f>
        <v>4027</v>
      </c>
      <c r="F214">
        <f>VLOOKUP(_xlfn.CONCAT(A214,B214,C214),'Gross Profit &amp; EBITDA'!$D$2:$F$61,2,FALSE)*E214</f>
        <v>2818.9</v>
      </c>
      <c r="G214">
        <f>VLOOKUP(_xlfn.CONCAT(A214,B214,C214),'Gross Profit &amp; EBITDA'!$D$2:$F$61,3,FALSE)*E214</f>
        <v>805.40000000000009</v>
      </c>
    </row>
    <row r="215" spans="1:7" x14ac:dyDescent="0.3">
      <c r="A215" s="28" t="s">
        <v>15</v>
      </c>
      <c r="B215" s="28">
        <v>2023</v>
      </c>
      <c r="C215" s="28" t="s">
        <v>8</v>
      </c>
      <c r="D215" s="28" t="s">
        <v>4</v>
      </c>
      <c r="E215">
        <f>INDEX('Financials Canada'!$E$7:$N$19,MATCH(_xlfn.CONCAT('Input Data'!D215,'Input Data'!C215),'Financials Canada'!$A$7:$A$19,0),MATCH('Input Data'!B215,'Financials Canada'!$E$1:$N$1,0))</f>
        <v>2471</v>
      </c>
      <c r="F215">
        <f>VLOOKUP(_xlfn.CONCAT(A215,B215,C215),'Gross Profit &amp; EBITDA'!$D$2:$F$61,2,FALSE)*E215</f>
        <v>1729.7000000000003</v>
      </c>
      <c r="G215">
        <f>VLOOKUP(_xlfn.CONCAT(A215,B215,C215),'Gross Profit &amp; EBITDA'!$D$2:$F$61,3,FALSE)*E215</f>
        <v>494.20000000000005</v>
      </c>
    </row>
    <row r="216" spans="1:7" x14ac:dyDescent="0.3">
      <c r="A216" s="28" t="s">
        <v>15</v>
      </c>
      <c r="B216" s="28">
        <v>2023</v>
      </c>
      <c r="C216" s="28" t="s">
        <v>9</v>
      </c>
      <c r="D216" s="28" t="s">
        <v>6</v>
      </c>
      <c r="E216">
        <f>INDEX('Financials Canada'!$E$7:$N$19,MATCH(_xlfn.CONCAT('Input Data'!D216,'Input Data'!C216),'Financials Canada'!$A$7:$A$19,0),MATCH('Input Data'!B216,'Financials Canada'!$E$1:$N$1,0))</f>
        <v>5311</v>
      </c>
      <c r="F216">
        <f>VLOOKUP(_xlfn.CONCAT(A216,B216,C216),'Gross Profit &amp; EBITDA'!$D$2:$F$61,2,FALSE)*E216</f>
        <v>4248.8</v>
      </c>
      <c r="G216">
        <f>VLOOKUP(_xlfn.CONCAT(A216,B216,C216),'Gross Profit &amp; EBITDA'!$D$2:$F$61,3,FALSE)*E216</f>
        <v>531.1</v>
      </c>
    </row>
    <row r="217" spans="1:7" x14ac:dyDescent="0.3">
      <c r="A217" s="28" t="s">
        <v>15</v>
      </c>
      <c r="B217" s="28">
        <v>2023</v>
      </c>
      <c r="C217" s="28" t="s">
        <v>9</v>
      </c>
      <c r="D217" s="28" t="s">
        <v>4</v>
      </c>
      <c r="E217">
        <f>INDEX('Financials Canada'!$E$7:$N$19,MATCH(_xlfn.CONCAT('Input Data'!D217,'Input Data'!C217),'Financials Canada'!$A$7:$A$19,0),MATCH('Input Data'!B217,'Financials Canada'!$E$1:$N$1,0))</f>
        <v>2532</v>
      </c>
      <c r="F217">
        <f>VLOOKUP(_xlfn.CONCAT(A217,B217,C217),'Gross Profit &amp; EBITDA'!$D$2:$F$61,2,FALSE)*E217</f>
        <v>2025.6000000000001</v>
      </c>
      <c r="G217">
        <f>VLOOKUP(_xlfn.CONCAT(A217,B217,C217),'Gross Profit &amp; EBITDA'!$D$2:$F$61,3,FALSE)*E217</f>
        <v>253.20000000000002</v>
      </c>
    </row>
    <row r="218" spans="1:7" x14ac:dyDescent="0.3">
      <c r="A218" s="28" t="s">
        <v>15</v>
      </c>
      <c r="B218" s="28">
        <v>2024</v>
      </c>
      <c r="C218" s="28" t="s">
        <v>5</v>
      </c>
      <c r="D218" s="28" t="s">
        <v>6</v>
      </c>
      <c r="E218">
        <f>INDEX('Financials Canada'!$E$7:$N$19,MATCH(_xlfn.CONCAT('Input Data'!D218,'Input Data'!C218),'Financials Canada'!$A$7:$A$19,0),MATCH('Input Data'!B218,'Financials Canada'!$E$1:$N$1,0))</f>
        <v>6979</v>
      </c>
      <c r="F218">
        <f>VLOOKUP(_xlfn.CONCAT(A218,B218,C218),'Gross Profit &amp; EBITDA'!$D$2:$F$61,2,FALSE)*E218</f>
        <v>4885.3</v>
      </c>
      <c r="G218">
        <f>VLOOKUP(_xlfn.CONCAT(A218,B218,C218),'Gross Profit &amp; EBITDA'!$D$2:$F$61,3,FALSE)*E218</f>
        <v>697.90000000000009</v>
      </c>
    </row>
    <row r="219" spans="1:7" x14ac:dyDescent="0.3">
      <c r="A219" s="28" t="s">
        <v>15</v>
      </c>
      <c r="B219" s="28">
        <v>2024</v>
      </c>
      <c r="C219" s="28" t="s">
        <v>5</v>
      </c>
      <c r="D219" s="28" t="s">
        <v>4</v>
      </c>
      <c r="E219">
        <f>INDEX('Financials Canada'!$E$7:$N$19,MATCH(_xlfn.CONCAT('Input Data'!D219,'Input Data'!C219),'Financials Canada'!$A$7:$A$19,0),MATCH('Input Data'!B219,'Financials Canada'!$E$1:$N$1,0))</f>
        <v>4440</v>
      </c>
      <c r="F219">
        <f>VLOOKUP(_xlfn.CONCAT(A219,B219,C219),'Gross Profit &amp; EBITDA'!$D$2:$F$61,2,FALSE)*E219</f>
        <v>3108.0000000000005</v>
      </c>
      <c r="G219">
        <f>VLOOKUP(_xlfn.CONCAT(A219,B219,C219),'Gross Profit &amp; EBITDA'!$D$2:$F$61,3,FALSE)*E219</f>
        <v>444</v>
      </c>
    </row>
    <row r="220" spans="1:7" x14ac:dyDescent="0.3">
      <c r="A220" s="28" t="s">
        <v>15</v>
      </c>
      <c r="B220" s="28">
        <v>2024</v>
      </c>
      <c r="C220" s="28" t="s">
        <v>8</v>
      </c>
      <c r="D220" s="28" t="s">
        <v>6</v>
      </c>
      <c r="E220">
        <f>INDEX('Financials Canada'!$E$7:$N$19,MATCH(_xlfn.CONCAT('Input Data'!D220,'Input Data'!C220),'Financials Canada'!$A$7:$A$19,0),MATCH('Input Data'!B220,'Financials Canada'!$E$1:$N$1,0))</f>
        <v>2778</v>
      </c>
      <c r="F220">
        <f>VLOOKUP(_xlfn.CONCAT(A220,B220,C220),'Gross Profit &amp; EBITDA'!$D$2:$F$61,2,FALSE)*E220</f>
        <v>1389</v>
      </c>
      <c r="G220">
        <f>VLOOKUP(_xlfn.CONCAT(A220,B220,C220),'Gross Profit &amp; EBITDA'!$D$2:$F$61,3,FALSE)*E220</f>
        <v>555.6</v>
      </c>
    </row>
    <row r="221" spans="1:7" x14ac:dyDescent="0.3">
      <c r="A221" s="28" t="s">
        <v>15</v>
      </c>
      <c r="B221" s="28">
        <v>2024</v>
      </c>
      <c r="C221" s="28" t="s">
        <v>8</v>
      </c>
      <c r="D221" s="28" t="s">
        <v>4</v>
      </c>
      <c r="E221">
        <f>INDEX('Financials Canada'!$E$7:$N$19,MATCH(_xlfn.CONCAT('Input Data'!D221,'Input Data'!C221),'Financials Canada'!$A$7:$A$19,0),MATCH('Input Data'!B221,'Financials Canada'!$E$1:$N$1,0))</f>
        <v>1689</v>
      </c>
      <c r="F221">
        <f>VLOOKUP(_xlfn.CONCAT(A221,B221,C221),'Gross Profit &amp; EBITDA'!$D$2:$F$61,2,FALSE)*E221</f>
        <v>844.5</v>
      </c>
      <c r="G221">
        <f>VLOOKUP(_xlfn.CONCAT(A221,B221,C221),'Gross Profit &amp; EBITDA'!$D$2:$F$61,3,FALSE)*E221</f>
        <v>337.8</v>
      </c>
    </row>
    <row r="222" spans="1:7" x14ac:dyDescent="0.3">
      <c r="A222" s="28" t="s">
        <v>15</v>
      </c>
      <c r="B222" s="28">
        <v>2024</v>
      </c>
      <c r="C222" s="28" t="s">
        <v>9</v>
      </c>
      <c r="D222" s="28" t="s">
        <v>6</v>
      </c>
      <c r="E222">
        <f>INDEX('Financials Canada'!$E$7:$N$19,MATCH(_xlfn.CONCAT('Input Data'!D222,'Input Data'!C222),'Financials Canada'!$A$7:$A$19,0),MATCH('Input Data'!B222,'Financials Canada'!$E$1:$N$1,0))</f>
        <v>6528</v>
      </c>
      <c r="F222">
        <f>VLOOKUP(_xlfn.CONCAT(A222,B222,C222),'Gross Profit &amp; EBITDA'!$D$2:$F$61,2,FALSE)*E222</f>
        <v>3264</v>
      </c>
      <c r="G222">
        <f>VLOOKUP(_xlfn.CONCAT(A222,B222,C222),'Gross Profit &amp; EBITDA'!$D$2:$F$61,3,FALSE)*E222</f>
        <v>652.80000000000007</v>
      </c>
    </row>
    <row r="223" spans="1:7" x14ac:dyDescent="0.3">
      <c r="A223" s="28" t="s">
        <v>15</v>
      </c>
      <c r="B223" s="28">
        <v>2024</v>
      </c>
      <c r="C223" s="28" t="s">
        <v>9</v>
      </c>
      <c r="D223" s="28" t="s">
        <v>4</v>
      </c>
      <c r="E223">
        <f>INDEX('Financials Canada'!$E$7:$N$19,MATCH(_xlfn.CONCAT('Input Data'!D223,'Input Data'!C223),'Financials Canada'!$A$7:$A$19,0),MATCH('Input Data'!B223,'Financials Canada'!$E$1:$N$1,0))</f>
        <v>1611</v>
      </c>
      <c r="F223">
        <f>VLOOKUP(_xlfn.CONCAT(A223,B223,C223),'Gross Profit &amp; EBITDA'!$D$2:$F$61,2,FALSE)*E223</f>
        <v>805.5</v>
      </c>
      <c r="G223">
        <f>VLOOKUP(_xlfn.CONCAT(A223,B223,C223),'Gross Profit &amp; EBITDA'!$D$2:$F$61,3,FALSE)*E223</f>
        <v>161.10000000000002</v>
      </c>
    </row>
    <row r="224" spans="1:7" x14ac:dyDescent="0.3">
      <c r="A224" s="28" t="s">
        <v>15</v>
      </c>
      <c r="B224" s="28">
        <v>2025</v>
      </c>
      <c r="C224" s="28" t="s">
        <v>5</v>
      </c>
      <c r="D224" s="28" t="s">
        <v>6</v>
      </c>
      <c r="E224">
        <f>INDEX('Financials Canada'!$E$7:$N$19,MATCH(_xlfn.CONCAT('Input Data'!D224,'Input Data'!C224),'Financials Canada'!$A$7:$A$19,0),MATCH('Input Data'!B224,'Financials Canada'!$E$1:$N$1,0))</f>
        <v>8809</v>
      </c>
      <c r="F224">
        <f>VLOOKUP(_xlfn.CONCAT(A224,B224,C224),'Gross Profit &amp; EBITDA'!$D$2:$F$61,2,FALSE)*E224</f>
        <v>4404.5</v>
      </c>
      <c r="G224">
        <f>VLOOKUP(_xlfn.CONCAT(A224,B224,C224),'Gross Profit &amp; EBITDA'!$D$2:$F$61,3,FALSE)*E224</f>
        <v>880.90000000000009</v>
      </c>
    </row>
    <row r="225" spans="1:7" x14ac:dyDescent="0.3">
      <c r="A225" s="28" t="s">
        <v>15</v>
      </c>
      <c r="B225" s="28">
        <v>2025</v>
      </c>
      <c r="C225" s="28" t="s">
        <v>5</v>
      </c>
      <c r="D225" s="28" t="s">
        <v>4</v>
      </c>
      <c r="E225">
        <f>INDEX('Financials Canada'!$E$7:$N$19,MATCH(_xlfn.CONCAT('Input Data'!D225,'Input Data'!C225),'Financials Canada'!$A$7:$A$19,0),MATCH('Input Data'!B225,'Financials Canada'!$E$1:$N$1,0))</f>
        <v>4901</v>
      </c>
      <c r="F225">
        <f>VLOOKUP(_xlfn.CONCAT(A225,B225,C225),'Gross Profit &amp; EBITDA'!$D$2:$F$61,2,FALSE)*E225</f>
        <v>2450.5</v>
      </c>
      <c r="G225">
        <f>VLOOKUP(_xlfn.CONCAT(A225,B225,C225),'Gross Profit &amp; EBITDA'!$D$2:$F$61,3,FALSE)*E225</f>
        <v>490.1</v>
      </c>
    </row>
    <row r="226" spans="1:7" x14ac:dyDescent="0.3">
      <c r="A226" s="28" t="s">
        <v>15</v>
      </c>
      <c r="B226" s="28">
        <v>2025</v>
      </c>
      <c r="C226" s="28" t="s">
        <v>8</v>
      </c>
      <c r="D226" s="28" t="s">
        <v>6</v>
      </c>
      <c r="E226">
        <f>INDEX('Financials Canada'!$E$7:$N$19,MATCH(_xlfn.CONCAT('Input Data'!D226,'Input Data'!C226),'Financials Canada'!$A$7:$A$19,0),MATCH('Input Data'!B226,'Financials Canada'!$E$1:$N$1,0))</f>
        <v>5369</v>
      </c>
      <c r="F226">
        <f>VLOOKUP(_xlfn.CONCAT(A226,B226,C226),'Gross Profit &amp; EBITDA'!$D$2:$F$61,2,FALSE)*E226</f>
        <v>2684.5</v>
      </c>
      <c r="G226">
        <f>VLOOKUP(_xlfn.CONCAT(A226,B226,C226),'Gross Profit &amp; EBITDA'!$D$2:$F$61,3,FALSE)*E226</f>
        <v>1073.8</v>
      </c>
    </row>
    <row r="227" spans="1:7" x14ac:dyDescent="0.3">
      <c r="A227" s="28" t="s">
        <v>15</v>
      </c>
      <c r="B227" s="28">
        <v>2025</v>
      </c>
      <c r="C227" s="28" t="s">
        <v>8</v>
      </c>
      <c r="D227" s="28" t="s">
        <v>4</v>
      </c>
      <c r="E227">
        <f>INDEX('Financials Canada'!$E$7:$N$19,MATCH(_xlfn.CONCAT('Input Data'!D227,'Input Data'!C227),'Financials Canada'!$A$7:$A$19,0),MATCH('Input Data'!B227,'Financials Canada'!$E$1:$N$1,0))</f>
        <v>2300</v>
      </c>
      <c r="F227">
        <f>VLOOKUP(_xlfn.CONCAT(A227,B227,C227),'Gross Profit &amp; EBITDA'!$D$2:$F$61,2,FALSE)*E227</f>
        <v>1150</v>
      </c>
      <c r="G227">
        <f>VLOOKUP(_xlfn.CONCAT(A227,B227,C227),'Gross Profit &amp; EBITDA'!$D$2:$F$61,3,FALSE)*E227</f>
        <v>460</v>
      </c>
    </row>
    <row r="228" spans="1:7" x14ac:dyDescent="0.3">
      <c r="A228" s="28" t="s">
        <v>15</v>
      </c>
      <c r="B228" s="28">
        <v>2025</v>
      </c>
      <c r="C228" s="28" t="s">
        <v>9</v>
      </c>
      <c r="D228" s="28" t="s">
        <v>6</v>
      </c>
      <c r="E228">
        <f>INDEX('Financials Canada'!$E$7:$N$19,MATCH(_xlfn.CONCAT('Input Data'!D228,'Input Data'!C228),'Financials Canada'!$A$7:$A$19,0),MATCH('Input Data'!B228,'Financials Canada'!$E$1:$N$1,0))</f>
        <v>7646</v>
      </c>
      <c r="F228">
        <f>VLOOKUP(_xlfn.CONCAT(A228,B228,C228),'Gross Profit &amp; EBITDA'!$D$2:$F$61,2,FALSE)*E228</f>
        <v>3823</v>
      </c>
      <c r="G228">
        <f>VLOOKUP(_xlfn.CONCAT(A228,B228,C228),'Gross Profit &amp; EBITDA'!$D$2:$F$61,3,FALSE)*E228</f>
        <v>1529.2</v>
      </c>
    </row>
    <row r="229" spans="1:7" x14ac:dyDescent="0.3">
      <c r="A229" s="28" t="s">
        <v>15</v>
      </c>
      <c r="B229" s="28">
        <v>2025</v>
      </c>
      <c r="C229" s="28" t="s">
        <v>9</v>
      </c>
      <c r="D229" s="28" t="s">
        <v>4</v>
      </c>
      <c r="E229">
        <f>INDEX('Financials Canada'!$E$7:$N$19,MATCH(_xlfn.CONCAT('Input Data'!D229,'Input Data'!C229),'Financials Canada'!$A$7:$A$19,0),MATCH('Input Data'!B229,'Financials Canada'!$E$1:$N$1,0))</f>
        <v>455</v>
      </c>
      <c r="F229">
        <f>VLOOKUP(_xlfn.CONCAT(A229,B229,C229),'Gross Profit &amp; EBITDA'!$D$2:$F$61,2,FALSE)*E229</f>
        <v>227.5</v>
      </c>
      <c r="G229">
        <f>VLOOKUP(_xlfn.CONCAT(A229,B229,C229),'Gross Profit &amp; EBITDA'!$D$2:$F$61,3,FALSE)*E229</f>
        <v>91</v>
      </c>
    </row>
    <row r="230" spans="1:7" x14ac:dyDescent="0.3">
      <c r="A230" s="28" t="s">
        <v>15</v>
      </c>
      <c r="B230" s="28">
        <v>2026</v>
      </c>
      <c r="C230" s="28" t="s">
        <v>5</v>
      </c>
      <c r="D230" s="28" t="s">
        <v>6</v>
      </c>
      <c r="E230">
        <f>INDEX('Financials Canada'!$E$7:$N$19,MATCH(_xlfn.CONCAT('Input Data'!D230,'Input Data'!C230),'Financials Canada'!$A$7:$A$19,0),MATCH('Input Data'!B230,'Financials Canada'!$E$1:$N$1,0))</f>
        <v>8073</v>
      </c>
      <c r="F230">
        <f>VLOOKUP(_xlfn.CONCAT(A230,B230,C230),'Gross Profit &amp; EBITDA'!$D$2:$F$61,2,FALSE)*E230</f>
        <v>4843.8000000000011</v>
      </c>
      <c r="G230">
        <f>VLOOKUP(_xlfn.CONCAT(A230,B230,C230),'Gross Profit &amp; EBITDA'!$D$2:$F$61,3,FALSE)*E230</f>
        <v>1614.6000000000001</v>
      </c>
    </row>
    <row r="231" spans="1:7" x14ac:dyDescent="0.3">
      <c r="A231" s="28" t="s">
        <v>15</v>
      </c>
      <c r="B231" s="28">
        <v>2026</v>
      </c>
      <c r="C231" s="28" t="s">
        <v>5</v>
      </c>
      <c r="D231" s="28" t="s">
        <v>4</v>
      </c>
      <c r="E231">
        <f>INDEX('Financials Canada'!$E$7:$N$19,MATCH(_xlfn.CONCAT('Input Data'!D231,'Input Data'!C231),'Financials Canada'!$A$7:$A$19,0),MATCH('Input Data'!B231,'Financials Canada'!$E$1:$N$1,0))</f>
        <v>3828</v>
      </c>
      <c r="F231">
        <f>VLOOKUP(_xlfn.CONCAT(A231,B231,C231),'Gross Profit &amp; EBITDA'!$D$2:$F$61,2,FALSE)*E231</f>
        <v>2296.8000000000002</v>
      </c>
      <c r="G231">
        <f>VLOOKUP(_xlfn.CONCAT(A231,B231,C231),'Gross Profit &amp; EBITDA'!$D$2:$F$61,3,FALSE)*E231</f>
        <v>765.6</v>
      </c>
    </row>
    <row r="232" spans="1:7" x14ac:dyDescent="0.3">
      <c r="A232" s="28" t="s">
        <v>15</v>
      </c>
      <c r="B232" s="28">
        <v>2026</v>
      </c>
      <c r="C232" s="28" t="s">
        <v>8</v>
      </c>
      <c r="D232" s="28" t="s">
        <v>6</v>
      </c>
      <c r="E232">
        <f>INDEX('Financials Canada'!$E$7:$N$19,MATCH(_xlfn.CONCAT('Input Data'!D232,'Input Data'!C232),'Financials Canada'!$A$7:$A$19,0),MATCH('Input Data'!B232,'Financials Canada'!$E$1:$N$1,0))</f>
        <v>4109</v>
      </c>
      <c r="F232">
        <f>VLOOKUP(_xlfn.CONCAT(A232,B232,C232),'Gross Profit &amp; EBITDA'!$D$2:$F$61,2,FALSE)*E232</f>
        <v>3287.2000000000003</v>
      </c>
      <c r="G232">
        <f>VLOOKUP(_xlfn.CONCAT(A232,B232,C232),'Gross Profit &amp; EBITDA'!$D$2:$F$61,3,FALSE)*E232</f>
        <v>410.90000000000003</v>
      </c>
    </row>
    <row r="233" spans="1:7" x14ac:dyDescent="0.3">
      <c r="A233" s="28" t="s">
        <v>15</v>
      </c>
      <c r="B233" s="28">
        <v>2026</v>
      </c>
      <c r="C233" s="28" t="s">
        <v>8</v>
      </c>
      <c r="D233" s="28" t="s">
        <v>4</v>
      </c>
      <c r="E233">
        <f>INDEX('Financials Canada'!$E$7:$N$19,MATCH(_xlfn.CONCAT('Input Data'!D233,'Input Data'!C233),'Financials Canada'!$A$7:$A$19,0),MATCH('Input Data'!B233,'Financials Canada'!$E$1:$N$1,0))</f>
        <v>3500</v>
      </c>
      <c r="F233">
        <f>VLOOKUP(_xlfn.CONCAT(A233,B233,C233),'Gross Profit &amp; EBITDA'!$D$2:$F$61,2,FALSE)*E233</f>
        <v>2800</v>
      </c>
      <c r="G233">
        <f>VLOOKUP(_xlfn.CONCAT(A233,B233,C233),'Gross Profit &amp; EBITDA'!$D$2:$F$61,3,FALSE)*E233</f>
        <v>350</v>
      </c>
    </row>
    <row r="234" spans="1:7" x14ac:dyDescent="0.3">
      <c r="A234" s="28" t="s">
        <v>15</v>
      </c>
      <c r="B234" s="28">
        <v>2026</v>
      </c>
      <c r="C234" s="28" t="s">
        <v>9</v>
      </c>
      <c r="D234" s="28" t="s">
        <v>6</v>
      </c>
      <c r="E234">
        <f>INDEX('Financials Canada'!$E$7:$N$19,MATCH(_xlfn.CONCAT('Input Data'!D234,'Input Data'!C234),'Financials Canada'!$A$7:$A$19,0),MATCH('Input Data'!B234,'Financials Canada'!$E$1:$N$1,0))</f>
        <v>5449</v>
      </c>
      <c r="F234">
        <f>VLOOKUP(_xlfn.CONCAT(A234,B234,C234),'Gross Profit &amp; EBITDA'!$D$2:$F$61,2,FALSE)*E234</f>
        <v>4359.2</v>
      </c>
      <c r="G234">
        <f>VLOOKUP(_xlfn.CONCAT(A234,B234,C234),'Gross Profit &amp; EBITDA'!$D$2:$F$61,3,FALSE)*E234</f>
        <v>544.9</v>
      </c>
    </row>
    <row r="235" spans="1:7" x14ac:dyDescent="0.3">
      <c r="A235" s="28" t="s">
        <v>15</v>
      </c>
      <c r="B235" s="28">
        <v>2026</v>
      </c>
      <c r="C235" s="28" t="s">
        <v>9</v>
      </c>
      <c r="D235" s="28" t="s">
        <v>4</v>
      </c>
      <c r="E235">
        <f>INDEX('Financials Canada'!$E$7:$N$19,MATCH(_xlfn.CONCAT('Input Data'!D235,'Input Data'!C235),'Financials Canada'!$A$7:$A$19,0),MATCH('Input Data'!B235,'Financials Canada'!$E$1:$N$1,0))</f>
        <v>3022</v>
      </c>
      <c r="F235">
        <f>VLOOKUP(_xlfn.CONCAT(A235,B235,C235),'Gross Profit &amp; EBITDA'!$D$2:$F$61,2,FALSE)*E235</f>
        <v>2417.6</v>
      </c>
      <c r="G235">
        <f>VLOOKUP(_xlfn.CONCAT(A235,B235,C235),'Gross Profit &amp; EBITDA'!$D$2:$F$61,3,FALSE)*E235</f>
        <v>302.2</v>
      </c>
    </row>
    <row r="236" spans="1:7" x14ac:dyDescent="0.3">
      <c r="A236" s="28" t="s">
        <v>15</v>
      </c>
      <c r="B236" s="28">
        <v>2027</v>
      </c>
      <c r="C236" s="28" t="s">
        <v>5</v>
      </c>
      <c r="D236" s="28" t="s">
        <v>6</v>
      </c>
      <c r="E236">
        <f>INDEX('Financials Canada'!$E$7:$N$19,MATCH(_xlfn.CONCAT('Input Data'!D236,'Input Data'!C236),'Financials Canada'!$A$7:$A$19,0),MATCH('Input Data'!B236,'Financials Canada'!$E$1:$N$1,0))</f>
        <v>7814</v>
      </c>
      <c r="F236">
        <f>VLOOKUP(_xlfn.CONCAT(A236,B236,C236),'Gross Profit &amp; EBITDA'!$D$2:$F$61,2,FALSE)*E236</f>
        <v>3907</v>
      </c>
      <c r="G236">
        <f>VLOOKUP(_xlfn.CONCAT(A236,B236,C236),'Gross Profit &amp; EBITDA'!$D$2:$F$61,3,FALSE)*E236</f>
        <v>1562.8000000000002</v>
      </c>
    </row>
    <row r="237" spans="1:7" x14ac:dyDescent="0.3">
      <c r="A237" s="28" t="s">
        <v>15</v>
      </c>
      <c r="B237" s="28">
        <v>2027</v>
      </c>
      <c r="C237" s="28" t="s">
        <v>5</v>
      </c>
      <c r="D237" s="28" t="s">
        <v>4</v>
      </c>
      <c r="E237">
        <f>INDEX('Financials Canada'!$E$7:$N$19,MATCH(_xlfn.CONCAT('Input Data'!D237,'Input Data'!C237),'Financials Canada'!$A$7:$A$19,0),MATCH('Input Data'!B237,'Financials Canada'!$E$1:$N$1,0))</f>
        <v>1808</v>
      </c>
      <c r="F237">
        <f>VLOOKUP(_xlfn.CONCAT(A237,B237,C237),'Gross Profit &amp; EBITDA'!$D$2:$F$61,2,FALSE)*E237</f>
        <v>904</v>
      </c>
      <c r="G237">
        <f>VLOOKUP(_xlfn.CONCAT(A237,B237,C237),'Gross Profit &amp; EBITDA'!$D$2:$F$61,3,FALSE)*E237</f>
        <v>361.6</v>
      </c>
    </row>
    <row r="238" spans="1:7" x14ac:dyDescent="0.3">
      <c r="A238" s="28" t="s">
        <v>15</v>
      </c>
      <c r="B238" s="28">
        <v>2027</v>
      </c>
      <c r="C238" s="28" t="s">
        <v>8</v>
      </c>
      <c r="D238" s="28" t="s">
        <v>6</v>
      </c>
      <c r="E238">
        <f>INDEX('Financials Canada'!$E$7:$N$19,MATCH(_xlfn.CONCAT('Input Data'!D238,'Input Data'!C238),'Financials Canada'!$A$7:$A$19,0),MATCH('Input Data'!B238,'Financials Canada'!$E$1:$N$1,0))</f>
        <v>3706</v>
      </c>
      <c r="F238">
        <f>VLOOKUP(_xlfn.CONCAT(A238,B238,C238),'Gross Profit &amp; EBITDA'!$D$2:$F$61,2,FALSE)*E238</f>
        <v>2594.2000000000003</v>
      </c>
      <c r="G238">
        <f>VLOOKUP(_xlfn.CONCAT(A238,B238,C238),'Gross Profit &amp; EBITDA'!$D$2:$F$61,3,FALSE)*E238</f>
        <v>741.2</v>
      </c>
    </row>
    <row r="239" spans="1:7" x14ac:dyDescent="0.3">
      <c r="A239" s="28" t="s">
        <v>15</v>
      </c>
      <c r="B239" s="28">
        <v>2027</v>
      </c>
      <c r="C239" s="28" t="s">
        <v>8</v>
      </c>
      <c r="D239" s="28" t="s">
        <v>4</v>
      </c>
      <c r="E239">
        <f>INDEX('Financials Canada'!$E$7:$N$19,MATCH(_xlfn.CONCAT('Input Data'!D239,'Input Data'!C239),'Financials Canada'!$A$7:$A$19,0),MATCH('Input Data'!B239,'Financials Canada'!$E$1:$N$1,0))</f>
        <v>2150</v>
      </c>
      <c r="F239">
        <f>VLOOKUP(_xlfn.CONCAT(A239,B239,C239),'Gross Profit &amp; EBITDA'!$D$2:$F$61,2,FALSE)*E239</f>
        <v>1505.0000000000002</v>
      </c>
      <c r="G239">
        <f>VLOOKUP(_xlfn.CONCAT(A239,B239,C239),'Gross Profit &amp; EBITDA'!$D$2:$F$61,3,FALSE)*E239</f>
        <v>430</v>
      </c>
    </row>
    <row r="240" spans="1:7" x14ac:dyDescent="0.3">
      <c r="A240" s="28" t="s">
        <v>15</v>
      </c>
      <c r="B240" s="28">
        <v>2027</v>
      </c>
      <c r="C240" s="28" t="s">
        <v>9</v>
      </c>
      <c r="D240" s="28" t="s">
        <v>6</v>
      </c>
      <c r="E240">
        <f>INDEX('Financials Canada'!$E$7:$N$19,MATCH(_xlfn.CONCAT('Input Data'!D240,'Input Data'!C240),'Financials Canada'!$A$7:$A$19,0),MATCH('Input Data'!B240,'Financials Canada'!$E$1:$N$1,0))</f>
        <v>4586</v>
      </c>
      <c r="F240">
        <f>VLOOKUP(_xlfn.CONCAT(A240,B240,C240),'Gross Profit &amp; EBITDA'!$D$2:$F$61,2,FALSE)*E240</f>
        <v>2751.6000000000004</v>
      </c>
      <c r="G240">
        <f>VLOOKUP(_xlfn.CONCAT(A240,B240,C240),'Gross Profit &amp; EBITDA'!$D$2:$F$61,3,FALSE)*E240</f>
        <v>458.6</v>
      </c>
    </row>
    <row r="241" spans="1:7" x14ac:dyDescent="0.3">
      <c r="A241" s="28" t="s">
        <v>15</v>
      </c>
      <c r="B241" s="28">
        <v>2027</v>
      </c>
      <c r="C241" s="28" t="s">
        <v>9</v>
      </c>
      <c r="D241" s="28" t="s">
        <v>4</v>
      </c>
      <c r="E241">
        <f>INDEX('Financials Canada'!$E$7:$N$19,MATCH(_xlfn.CONCAT('Input Data'!D241,'Input Data'!C241),'Financials Canada'!$A$7:$A$19,0),MATCH('Input Data'!B241,'Financials Canada'!$E$1:$N$1,0))</f>
        <v>3867</v>
      </c>
      <c r="F241">
        <f>VLOOKUP(_xlfn.CONCAT(A241,B241,C241),'Gross Profit &amp; EBITDA'!$D$2:$F$61,2,FALSE)*E241</f>
        <v>2320.2000000000003</v>
      </c>
      <c r="G241">
        <f>VLOOKUP(_xlfn.CONCAT(A241,B241,C241),'Gross Profit &amp; EBITDA'!$D$2:$F$61,3,FALSE)*E241</f>
        <v>386.70000000000005</v>
      </c>
    </row>
  </sheetData>
  <pageMargins left="0.7" right="0.7" top="0.75" bottom="0.75" header="0.3" footer="0.3"/>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96C9-81F5-B84A-BB4A-FF3FCDC315BA}">
  <dimension ref="A1:O41"/>
  <sheetViews>
    <sheetView showGridLines="0" workbookViewId="0">
      <selection activeCell="B29" sqref="B29"/>
    </sheetView>
  </sheetViews>
  <sheetFormatPr defaultColWidth="11.19921875" defaultRowHeight="15.6" x14ac:dyDescent="0.3"/>
  <cols>
    <col min="1" max="1" width="26.69921875" bestFit="1" customWidth="1"/>
    <col min="2" max="2" width="12.5" style="1" bestFit="1" customWidth="1"/>
    <col min="3" max="3" width="18" bestFit="1" customWidth="1"/>
    <col min="4" max="4" width="10.5" bestFit="1" customWidth="1"/>
    <col min="5" max="5" width="10.296875" bestFit="1" customWidth="1"/>
    <col min="6" max="14" width="11.296875" bestFit="1" customWidth="1"/>
    <col min="15" max="15" width="5.69921875" bestFit="1" customWidth="1"/>
  </cols>
  <sheetData>
    <row r="1" spans="1:15" x14ac:dyDescent="0.3">
      <c r="D1" s="2" t="s">
        <v>0</v>
      </c>
      <c r="E1" s="3">
        <v>2018</v>
      </c>
      <c r="F1" s="3">
        <v>2019</v>
      </c>
      <c r="G1" s="3">
        <v>2020</v>
      </c>
      <c r="H1" s="3">
        <v>2021</v>
      </c>
      <c r="I1" s="3">
        <v>2022</v>
      </c>
      <c r="J1" s="3">
        <v>2023</v>
      </c>
      <c r="K1" s="3">
        <v>2024</v>
      </c>
      <c r="L1" s="3">
        <v>2025</v>
      </c>
      <c r="M1" s="3">
        <v>2026</v>
      </c>
      <c r="N1" s="3">
        <v>2027</v>
      </c>
    </row>
    <row r="2" spans="1:15" x14ac:dyDescent="0.3">
      <c r="D2" s="4" t="s">
        <v>1</v>
      </c>
      <c r="E2" s="5"/>
      <c r="F2" s="6">
        <v>43466</v>
      </c>
      <c r="G2" s="6">
        <v>43831</v>
      </c>
      <c r="H2" s="6">
        <v>44197</v>
      </c>
      <c r="I2" s="6">
        <v>44562</v>
      </c>
      <c r="J2" s="6">
        <v>44927</v>
      </c>
      <c r="K2" s="6">
        <v>45292</v>
      </c>
      <c r="L2" s="6">
        <v>45658</v>
      </c>
      <c r="M2" s="6">
        <v>46023</v>
      </c>
      <c r="N2" s="6">
        <v>46388</v>
      </c>
    </row>
    <row r="3" spans="1:15" x14ac:dyDescent="0.3">
      <c r="D3" s="4" t="s">
        <v>2</v>
      </c>
      <c r="E3" s="6">
        <v>43465</v>
      </c>
      <c r="F3" s="6">
        <v>43830</v>
      </c>
      <c r="G3" s="6">
        <v>44196</v>
      </c>
      <c r="H3" s="6">
        <v>44561</v>
      </c>
      <c r="I3" s="6">
        <v>44926</v>
      </c>
      <c r="J3" s="6">
        <v>45291</v>
      </c>
      <c r="K3" s="6">
        <v>45657</v>
      </c>
      <c r="L3" s="6">
        <v>46022</v>
      </c>
      <c r="M3" s="6">
        <v>46387</v>
      </c>
      <c r="N3" s="6">
        <v>46752</v>
      </c>
    </row>
    <row r="4" spans="1:15" x14ac:dyDescent="0.3">
      <c r="D4" s="7"/>
    </row>
    <row r="5" spans="1:15" x14ac:dyDescent="0.3">
      <c r="D5" s="7"/>
    </row>
    <row r="6" spans="1:15" x14ac:dyDescent="0.3">
      <c r="A6" t="s">
        <v>21</v>
      </c>
      <c r="B6" s="1" t="s">
        <v>3</v>
      </c>
      <c r="C6" s="8" t="s">
        <v>16</v>
      </c>
      <c r="D6" s="9"/>
      <c r="E6" s="8"/>
      <c r="F6" s="8"/>
      <c r="G6" s="8"/>
      <c r="H6" s="8"/>
      <c r="I6" s="8"/>
      <c r="J6" s="8"/>
      <c r="K6" s="8"/>
      <c r="L6" s="8"/>
      <c r="M6" s="8"/>
      <c r="N6" s="8"/>
    </row>
    <row r="7" spans="1:15" x14ac:dyDescent="0.3">
      <c r="A7" t="str">
        <f>_xlfn.CONCAT(B7,C7)</f>
        <v>SMBArtificial Intelligence</v>
      </c>
      <c r="B7" s="10" t="s">
        <v>4</v>
      </c>
      <c r="C7" s="11" t="s">
        <v>5</v>
      </c>
      <c r="D7" s="7"/>
      <c r="E7" s="12">
        <v>1869</v>
      </c>
      <c r="F7" s="12">
        <v>3211</v>
      </c>
      <c r="G7" s="12">
        <v>4810</v>
      </c>
      <c r="H7" s="12">
        <v>7470</v>
      </c>
      <c r="I7" s="12">
        <v>11367</v>
      </c>
      <c r="J7" s="12">
        <v>6894</v>
      </c>
      <c r="K7" s="12">
        <v>8880</v>
      </c>
      <c r="L7" s="12">
        <v>4901</v>
      </c>
      <c r="M7" s="12">
        <v>3828</v>
      </c>
      <c r="N7" s="12">
        <v>5424</v>
      </c>
    </row>
    <row r="8" spans="1:15" x14ac:dyDescent="0.3">
      <c r="A8" t="str">
        <f t="shared" ref="A8:A19" si="0">_xlfn.CONCAT(B8,C8)</f>
        <v>EnterpriseArtificial Intelligence</v>
      </c>
      <c r="B8" s="13" t="s">
        <v>6</v>
      </c>
      <c r="C8" s="14" t="s">
        <v>5</v>
      </c>
      <c r="D8" s="15"/>
      <c r="E8" s="16">
        <v>23961</v>
      </c>
      <c r="F8" s="16">
        <v>15956</v>
      </c>
      <c r="G8" s="16">
        <v>16090</v>
      </c>
      <c r="H8" s="16">
        <v>15225</v>
      </c>
      <c r="I8" s="16">
        <v>14484</v>
      </c>
      <c r="J8" s="16">
        <v>18660</v>
      </c>
      <c r="K8" s="16">
        <v>13958</v>
      </c>
      <c r="L8" s="16">
        <v>26427</v>
      </c>
      <c r="M8" s="16">
        <v>24219</v>
      </c>
      <c r="N8" s="16">
        <v>23442</v>
      </c>
      <c r="O8" s="17"/>
    </row>
    <row r="9" spans="1:15" x14ac:dyDescent="0.3">
      <c r="B9" s="10"/>
      <c r="C9" s="18" t="s">
        <v>7</v>
      </c>
      <c r="D9" s="19"/>
      <c r="E9" s="20">
        <f>SUM(E7:E8)</f>
        <v>25830</v>
      </c>
      <c r="F9" s="20">
        <f t="shared" ref="F9:N9" si="1">SUM(F7:F8)</f>
        <v>19167</v>
      </c>
      <c r="G9" s="20">
        <f t="shared" si="1"/>
        <v>20900</v>
      </c>
      <c r="H9" s="20">
        <f t="shared" si="1"/>
        <v>22695</v>
      </c>
      <c r="I9" s="20">
        <f t="shared" si="1"/>
        <v>25851</v>
      </c>
      <c r="J9" s="20">
        <f t="shared" si="1"/>
        <v>25554</v>
      </c>
      <c r="K9" s="20">
        <f t="shared" si="1"/>
        <v>22838</v>
      </c>
      <c r="L9" s="20">
        <f t="shared" si="1"/>
        <v>31328</v>
      </c>
      <c r="M9" s="20">
        <f t="shared" si="1"/>
        <v>28047</v>
      </c>
      <c r="N9" s="20">
        <f t="shared" si="1"/>
        <v>28866</v>
      </c>
    </row>
    <row r="10" spans="1:15" x14ac:dyDescent="0.3">
      <c r="D10" s="7"/>
      <c r="E10" s="12"/>
      <c r="F10" s="12"/>
      <c r="G10" s="12"/>
      <c r="H10" s="12"/>
      <c r="I10" s="12"/>
      <c r="J10" s="12"/>
      <c r="K10" s="12"/>
      <c r="L10" s="12"/>
      <c r="M10" s="12"/>
      <c r="N10" s="12"/>
    </row>
    <row r="11" spans="1:15" x14ac:dyDescent="0.3">
      <c r="D11" s="7"/>
      <c r="E11" s="12"/>
      <c r="F11" s="12"/>
      <c r="G11" s="12"/>
      <c r="H11" s="12"/>
      <c r="I11" s="12"/>
      <c r="J11" s="12"/>
      <c r="K11" s="12"/>
      <c r="L11" s="12"/>
      <c r="M11" s="12"/>
      <c r="N11" s="12"/>
    </row>
    <row r="12" spans="1:15" x14ac:dyDescent="0.3">
      <c r="A12" t="str">
        <f t="shared" si="0"/>
        <v>SMBMarketing</v>
      </c>
      <c r="B12" s="10" t="s">
        <v>4</v>
      </c>
      <c r="C12" s="11" t="s">
        <v>8</v>
      </c>
      <c r="D12" s="7"/>
      <c r="E12" s="12">
        <v>5607</v>
      </c>
      <c r="F12" s="12">
        <v>12844</v>
      </c>
      <c r="G12" s="12">
        <v>9620</v>
      </c>
      <c r="H12" s="12">
        <v>29880</v>
      </c>
      <c r="I12" s="12">
        <v>22734</v>
      </c>
      <c r="J12" s="12">
        <v>13788</v>
      </c>
      <c r="K12" s="12">
        <v>53280</v>
      </c>
      <c r="L12" s="12">
        <v>14703</v>
      </c>
      <c r="M12" s="12">
        <v>3828</v>
      </c>
      <c r="N12" s="12">
        <v>5424</v>
      </c>
    </row>
    <row r="13" spans="1:15" x14ac:dyDescent="0.3">
      <c r="A13" t="str">
        <f t="shared" si="0"/>
        <v>EnterpriseMarketing</v>
      </c>
      <c r="B13" s="13" t="s">
        <v>6</v>
      </c>
      <c r="C13" s="14" t="s">
        <v>8</v>
      </c>
      <c r="D13" s="15"/>
      <c r="E13" s="16">
        <v>23961</v>
      </c>
      <c r="F13" s="16">
        <v>95736</v>
      </c>
      <c r="G13" s="16">
        <v>16090</v>
      </c>
      <c r="H13" s="16">
        <v>91350</v>
      </c>
      <c r="I13" s="16">
        <v>86904</v>
      </c>
      <c r="J13" s="16">
        <v>111960</v>
      </c>
      <c r="K13" s="16">
        <v>41874</v>
      </c>
      <c r="L13" s="16">
        <v>52854</v>
      </c>
      <c r="M13" s="16">
        <v>96876</v>
      </c>
      <c r="N13" s="16">
        <v>140652</v>
      </c>
    </row>
    <row r="14" spans="1:15" x14ac:dyDescent="0.3">
      <c r="C14" s="18" t="s">
        <v>7</v>
      </c>
      <c r="D14" s="7"/>
      <c r="E14" s="20">
        <f>SUM(E12:E13)</f>
        <v>29568</v>
      </c>
      <c r="F14" s="20">
        <f t="shared" ref="F14:N14" si="2">SUM(F12:F13)</f>
        <v>108580</v>
      </c>
      <c r="G14" s="20">
        <f t="shared" si="2"/>
        <v>25710</v>
      </c>
      <c r="H14" s="20">
        <f t="shared" si="2"/>
        <v>121230</v>
      </c>
      <c r="I14" s="20">
        <f t="shared" si="2"/>
        <v>109638</v>
      </c>
      <c r="J14" s="20">
        <f t="shared" si="2"/>
        <v>125748</v>
      </c>
      <c r="K14" s="20">
        <f t="shared" si="2"/>
        <v>95154</v>
      </c>
      <c r="L14" s="20">
        <f t="shared" si="2"/>
        <v>67557</v>
      </c>
      <c r="M14" s="20">
        <f t="shared" si="2"/>
        <v>100704</v>
      </c>
      <c r="N14" s="20">
        <f t="shared" si="2"/>
        <v>146076</v>
      </c>
    </row>
    <row r="15" spans="1:15" x14ac:dyDescent="0.3">
      <c r="D15" s="7"/>
      <c r="E15" s="12"/>
      <c r="F15" s="12"/>
      <c r="G15" s="12"/>
      <c r="H15" s="12"/>
      <c r="I15" s="12"/>
      <c r="J15" s="12"/>
      <c r="K15" s="12"/>
      <c r="L15" s="12"/>
      <c r="M15" s="12"/>
      <c r="N15" s="12"/>
    </row>
    <row r="16" spans="1:15" x14ac:dyDescent="0.3">
      <c r="D16" s="7"/>
      <c r="E16" s="12"/>
      <c r="F16" s="12"/>
      <c r="G16" s="12"/>
      <c r="H16" s="12"/>
      <c r="I16" s="12"/>
      <c r="J16" s="12"/>
      <c r="K16" s="12"/>
      <c r="L16" s="12"/>
      <c r="M16" s="12"/>
      <c r="N16" s="12"/>
    </row>
    <row r="17" spans="1:14" x14ac:dyDescent="0.3">
      <c r="D17" s="7"/>
      <c r="E17" s="12"/>
      <c r="F17" s="12"/>
      <c r="G17" s="12"/>
      <c r="H17" s="12"/>
      <c r="I17" s="12"/>
      <c r="J17" s="12"/>
      <c r="K17" s="12"/>
      <c r="L17" s="12"/>
      <c r="M17" s="12"/>
      <c r="N17" s="12"/>
    </row>
    <row r="18" spans="1:14" x14ac:dyDescent="0.3">
      <c r="A18" t="str">
        <f t="shared" si="0"/>
        <v>SMBAccounting</v>
      </c>
      <c r="B18" s="10" t="s">
        <v>4</v>
      </c>
      <c r="C18" s="11" t="s">
        <v>9</v>
      </c>
      <c r="D18" s="7"/>
      <c r="E18" s="12">
        <v>684</v>
      </c>
      <c r="F18" s="12">
        <v>17682</v>
      </c>
      <c r="G18" s="12">
        <v>10140</v>
      </c>
      <c r="H18" s="12">
        <v>3252</v>
      </c>
      <c r="I18" s="12">
        <v>3515</v>
      </c>
      <c r="J18" s="12">
        <v>5064</v>
      </c>
      <c r="K18" s="12">
        <v>9666</v>
      </c>
      <c r="L18" s="12">
        <v>1365</v>
      </c>
      <c r="M18" s="12">
        <v>3022</v>
      </c>
      <c r="N18" s="12">
        <v>15468</v>
      </c>
    </row>
    <row r="19" spans="1:14" x14ac:dyDescent="0.3">
      <c r="A19" t="str">
        <f t="shared" si="0"/>
        <v>EnterpriseAccounting</v>
      </c>
      <c r="B19" s="13" t="s">
        <v>6</v>
      </c>
      <c r="C19" s="14" t="s">
        <v>9</v>
      </c>
      <c r="D19" s="15"/>
      <c r="E19" s="16">
        <v>9098</v>
      </c>
      <c r="F19" s="16">
        <v>19683</v>
      </c>
      <c r="G19" s="16">
        <v>55827</v>
      </c>
      <c r="H19" s="16">
        <v>6756</v>
      </c>
      <c r="I19" s="16">
        <v>18760</v>
      </c>
      <c r="J19" s="16">
        <v>15933</v>
      </c>
      <c r="K19" s="16">
        <v>6528</v>
      </c>
      <c r="L19" s="16">
        <v>68814</v>
      </c>
      <c r="M19" s="16">
        <v>32694</v>
      </c>
      <c r="N19" s="16">
        <v>9172</v>
      </c>
    </row>
    <row r="20" spans="1:14" x14ac:dyDescent="0.3">
      <c r="C20" s="18" t="s">
        <v>7</v>
      </c>
      <c r="D20" s="7"/>
      <c r="E20" s="20">
        <f>SUM(E18:E19)</f>
        <v>9782</v>
      </c>
      <c r="F20" s="20">
        <f t="shared" ref="F20:N20" si="3">SUM(F18:F19)</f>
        <v>37365</v>
      </c>
      <c r="G20" s="20">
        <f t="shared" si="3"/>
        <v>65967</v>
      </c>
      <c r="H20" s="20">
        <f t="shared" si="3"/>
        <v>10008</v>
      </c>
      <c r="I20" s="20">
        <f t="shared" si="3"/>
        <v>22275</v>
      </c>
      <c r="J20" s="20">
        <f t="shared" si="3"/>
        <v>20997</v>
      </c>
      <c r="K20" s="20">
        <f t="shared" si="3"/>
        <v>16194</v>
      </c>
      <c r="L20" s="20">
        <f t="shared" si="3"/>
        <v>70179</v>
      </c>
      <c r="M20" s="20">
        <f t="shared" si="3"/>
        <v>35716</v>
      </c>
      <c r="N20" s="20">
        <f t="shared" si="3"/>
        <v>24640</v>
      </c>
    </row>
    <row r="21" spans="1:14" x14ac:dyDescent="0.3">
      <c r="D21" s="7"/>
      <c r="E21" s="12"/>
      <c r="F21" s="12"/>
      <c r="G21" s="12"/>
      <c r="H21" s="12"/>
      <c r="I21" s="12"/>
      <c r="J21" s="12"/>
      <c r="K21" s="12"/>
      <c r="L21" s="12"/>
      <c r="M21" s="12"/>
      <c r="N21" s="12"/>
    </row>
    <row r="22" spans="1:14" x14ac:dyDescent="0.3">
      <c r="C22" s="21"/>
      <c r="D22" s="7"/>
      <c r="E22" s="12"/>
      <c r="F22" s="12"/>
      <c r="G22" s="12"/>
      <c r="H22" s="12"/>
      <c r="I22" s="12"/>
      <c r="J22" s="12"/>
      <c r="K22" s="12"/>
      <c r="L22" s="12"/>
      <c r="M22" s="12"/>
      <c r="N22" s="12"/>
    </row>
    <row r="23" spans="1:14" x14ac:dyDescent="0.3">
      <c r="B23" s="22" t="s">
        <v>10</v>
      </c>
      <c r="C23" s="23"/>
      <c r="D23" s="24"/>
      <c r="E23" s="25">
        <f>SUM(E9,E14,E20)</f>
        <v>65180</v>
      </c>
      <c r="F23" s="25">
        <f t="shared" ref="F23:N23" si="4">SUM(F9,F14,F20)</f>
        <v>165112</v>
      </c>
      <c r="G23" s="25">
        <f t="shared" si="4"/>
        <v>112577</v>
      </c>
      <c r="H23" s="25">
        <f t="shared" si="4"/>
        <v>153933</v>
      </c>
      <c r="I23" s="25">
        <f t="shared" si="4"/>
        <v>157764</v>
      </c>
      <c r="J23" s="25">
        <f t="shared" si="4"/>
        <v>172299</v>
      </c>
      <c r="K23" s="25">
        <f t="shared" si="4"/>
        <v>134186</v>
      </c>
      <c r="L23" s="25">
        <f t="shared" si="4"/>
        <v>169064</v>
      </c>
      <c r="M23" s="25">
        <f t="shared" si="4"/>
        <v>164467</v>
      </c>
      <c r="N23" s="25">
        <f t="shared" si="4"/>
        <v>199582</v>
      </c>
    </row>
    <row r="27" spans="1:14" x14ac:dyDescent="0.3">
      <c r="E27" s="12"/>
      <c r="F27" s="12"/>
      <c r="G27" s="12"/>
      <c r="H27" s="12"/>
      <c r="I27" s="12"/>
      <c r="J27" s="12"/>
      <c r="K27" s="12"/>
      <c r="L27" s="12"/>
      <c r="M27" s="12"/>
      <c r="N27" s="12"/>
    </row>
    <row r="28" spans="1:14" x14ac:dyDescent="0.3">
      <c r="E28" s="12"/>
      <c r="F28" s="12"/>
      <c r="G28" s="12"/>
      <c r="H28" s="12"/>
      <c r="I28" s="12"/>
      <c r="J28" s="12"/>
      <c r="K28" s="12"/>
      <c r="L28" s="12"/>
      <c r="M28" s="12"/>
      <c r="N28" s="12"/>
    </row>
    <row r="29" spans="1:14" x14ac:dyDescent="0.3">
      <c r="E29" s="12"/>
      <c r="F29" s="12"/>
      <c r="G29" s="12"/>
      <c r="H29" s="12"/>
      <c r="I29" s="12"/>
      <c r="J29" s="12"/>
      <c r="K29" s="12"/>
      <c r="L29" s="12"/>
      <c r="M29" s="12"/>
      <c r="N29" s="12"/>
    </row>
    <row r="30" spans="1:14" x14ac:dyDescent="0.3">
      <c r="E30" s="12"/>
      <c r="F30" s="12"/>
      <c r="G30" s="12"/>
      <c r="H30" s="12"/>
      <c r="I30" s="12"/>
      <c r="J30" s="12"/>
      <c r="K30" s="12"/>
      <c r="L30" s="12"/>
      <c r="M30" s="12"/>
      <c r="N30" s="12"/>
    </row>
    <row r="31" spans="1:14" x14ac:dyDescent="0.3">
      <c r="E31" s="12"/>
      <c r="F31" s="12"/>
      <c r="G31" s="12"/>
      <c r="H31" s="12"/>
      <c r="I31" s="12"/>
      <c r="J31" s="12"/>
      <c r="K31" s="12"/>
      <c r="L31" s="12"/>
      <c r="M31" s="12"/>
      <c r="N31" s="12"/>
    </row>
    <row r="32" spans="1:14" x14ac:dyDescent="0.3">
      <c r="E32" s="12"/>
      <c r="F32" s="12"/>
      <c r="G32" s="12"/>
      <c r="H32" s="12"/>
      <c r="I32" s="12"/>
      <c r="J32" s="12"/>
      <c r="K32" s="12"/>
      <c r="L32" s="12"/>
      <c r="M32" s="12"/>
      <c r="N32" s="12"/>
    </row>
    <row r="33" spans="5:14" x14ac:dyDescent="0.3">
      <c r="E33" s="12"/>
      <c r="F33" s="12"/>
      <c r="G33" s="12"/>
      <c r="H33" s="12"/>
      <c r="I33" s="12"/>
      <c r="J33" s="12"/>
      <c r="K33" s="12"/>
      <c r="L33" s="12"/>
      <c r="M33" s="12"/>
      <c r="N33" s="12"/>
    </row>
    <row r="34" spans="5:14" x14ac:dyDescent="0.3">
      <c r="E34" s="12"/>
      <c r="F34" s="12"/>
      <c r="G34" s="12"/>
      <c r="H34" s="12"/>
      <c r="I34" s="12"/>
      <c r="J34" s="12"/>
      <c r="K34" s="12"/>
      <c r="L34" s="12"/>
      <c r="M34" s="12"/>
      <c r="N34" s="12"/>
    </row>
    <row r="35" spans="5:14" x14ac:dyDescent="0.3">
      <c r="E35" s="12"/>
      <c r="F35" s="12"/>
      <c r="G35" s="12"/>
      <c r="H35" s="12"/>
      <c r="I35" s="12"/>
      <c r="J35" s="12"/>
      <c r="K35" s="12"/>
      <c r="L35" s="12"/>
      <c r="M35" s="12"/>
      <c r="N35" s="12"/>
    </row>
    <row r="36" spans="5:14" x14ac:dyDescent="0.3">
      <c r="E36" s="12"/>
      <c r="F36" s="12"/>
      <c r="G36" s="12"/>
      <c r="H36" s="12"/>
      <c r="I36" s="12"/>
      <c r="J36" s="12"/>
      <c r="K36" s="12"/>
      <c r="L36" s="12"/>
      <c r="M36" s="12"/>
      <c r="N36" s="12"/>
    </row>
    <row r="37" spans="5:14" x14ac:dyDescent="0.3">
      <c r="E37" s="12"/>
      <c r="F37" s="12"/>
      <c r="G37" s="12"/>
      <c r="H37" s="12"/>
      <c r="I37" s="12"/>
      <c r="J37" s="12"/>
      <c r="K37" s="12"/>
      <c r="L37" s="12"/>
      <c r="M37" s="12"/>
      <c r="N37" s="12"/>
    </row>
    <row r="38" spans="5:14" x14ac:dyDescent="0.3">
      <c r="E38" s="12"/>
      <c r="F38" s="12"/>
      <c r="G38" s="12"/>
      <c r="H38" s="12"/>
      <c r="I38" s="12"/>
      <c r="J38" s="12"/>
      <c r="K38" s="12"/>
      <c r="L38" s="12"/>
      <c r="M38" s="12"/>
      <c r="N38" s="12"/>
    </row>
    <row r="39" spans="5:14" x14ac:dyDescent="0.3">
      <c r="E39" s="12"/>
      <c r="F39" s="12"/>
      <c r="G39" s="12"/>
      <c r="H39" s="12"/>
      <c r="I39" s="12"/>
      <c r="J39" s="12"/>
      <c r="K39" s="12"/>
      <c r="L39" s="12"/>
      <c r="M39" s="12"/>
      <c r="N39" s="12"/>
    </row>
    <row r="40" spans="5:14" x14ac:dyDescent="0.3">
      <c r="E40" s="12"/>
      <c r="F40" s="12"/>
      <c r="G40" s="12"/>
      <c r="H40" s="12"/>
      <c r="I40" s="12"/>
      <c r="J40" s="12"/>
      <c r="K40" s="12"/>
      <c r="L40" s="12"/>
      <c r="M40" s="12"/>
      <c r="N40" s="12"/>
    </row>
    <row r="41" spans="5:14" x14ac:dyDescent="0.3">
      <c r="E41" s="12"/>
      <c r="F41" s="12"/>
      <c r="G41" s="12"/>
      <c r="H41" s="12"/>
      <c r="I41" s="12"/>
      <c r="J41" s="12"/>
      <c r="K41" s="12"/>
      <c r="L41" s="12"/>
      <c r="M41" s="12"/>
      <c r="N4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8F25-59F2-4340-95A1-2AD2A76EA4BA}">
  <dimension ref="A1:O56"/>
  <sheetViews>
    <sheetView showGridLines="0" workbookViewId="0">
      <selection activeCell="A14" sqref="A14:A17"/>
    </sheetView>
  </sheetViews>
  <sheetFormatPr defaultColWidth="11.19921875" defaultRowHeight="15.6" x14ac:dyDescent="0.3"/>
  <cols>
    <col min="1" max="1" width="26.69921875" bestFit="1" customWidth="1"/>
    <col min="2" max="2" width="12.5" style="1" bestFit="1" customWidth="1"/>
    <col min="3" max="3" width="18" bestFit="1" customWidth="1"/>
    <col min="4" max="4" width="10.5" customWidth="1"/>
    <col min="5" max="14" width="10.296875" bestFit="1" customWidth="1"/>
    <col min="15" max="15" width="5.69921875" bestFit="1" customWidth="1"/>
  </cols>
  <sheetData>
    <row r="1" spans="1:15" x14ac:dyDescent="0.3">
      <c r="D1" s="2" t="s">
        <v>0</v>
      </c>
      <c r="E1" s="3">
        <v>2018</v>
      </c>
      <c r="F1" s="3">
        <v>2019</v>
      </c>
      <c r="G1" s="3">
        <v>2020</v>
      </c>
      <c r="H1" s="3">
        <v>2021</v>
      </c>
      <c r="I1" s="3">
        <v>2022</v>
      </c>
      <c r="J1" s="3">
        <v>2023</v>
      </c>
      <c r="K1" s="3">
        <v>2024</v>
      </c>
      <c r="L1" s="3">
        <v>2025</v>
      </c>
      <c r="M1" s="3">
        <v>2026</v>
      </c>
      <c r="N1" s="3">
        <v>2027</v>
      </c>
    </row>
    <row r="2" spans="1:15" x14ac:dyDescent="0.3">
      <c r="D2" s="4" t="s">
        <v>1</v>
      </c>
      <c r="E2" s="5"/>
      <c r="F2" s="6">
        <v>43466</v>
      </c>
      <c r="G2" s="6">
        <v>43831</v>
      </c>
      <c r="H2" s="6">
        <v>44197</v>
      </c>
      <c r="I2" s="6">
        <v>44562</v>
      </c>
      <c r="J2" s="6">
        <v>44927</v>
      </c>
      <c r="K2" s="6">
        <v>45292</v>
      </c>
      <c r="L2" s="6">
        <v>45658</v>
      </c>
      <c r="M2" s="6">
        <v>46023</v>
      </c>
      <c r="N2" s="6">
        <v>46388</v>
      </c>
    </row>
    <row r="3" spans="1:15" x14ac:dyDescent="0.3">
      <c r="D3" s="4" t="s">
        <v>2</v>
      </c>
      <c r="E3" s="6">
        <v>43465</v>
      </c>
      <c r="F3" s="6">
        <v>43830</v>
      </c>
      <c r="G3" s="6">
        <v>44196</v>
      </c>
      <c r="H3" s="6">
        <v>44561</v>
      </c>
      <c r="I3" s="6">
        <v>44926</v>
      </c>
      <c r="J3" s="6">
        <v>45291</v>
      </c>
      <c r="K3" s="6">
        <v>45657</v>
      </c>
      <c r="L3" s="6">
        <v>46022</v>
      </c>
      <c r="M3" s="6">
        <v>46387</v>
      </c>
      <c r="N3" s="6">
        <v>46752</v>
      </c>
    </row>
    <row r="4" spans="1:15" x14ac:dyDescent="0.3">
      <c r="D4" s="7"/>
    </row>
    <row r="5" spans="1:15" x14ac:dyDescent="0.3">
      <c r="D5" s="7"/>
    </row>
    <row r="6" spans="1:15" x14ac:dyDescent="0.3">
      <c r="A6" t="s">
        <v>21</v>
      </c>
      <c r="B6" s="1" t="s">
        <v>3</v>
      </c>
      <c r="C6" s="8" t="s">
        <v>16</v>
      </c>
      <c r="D6" s="9"/>
      <c r="E6" s="8"/>
      <c r="F6" s="8"/>
      <c r="G6" s="8"/>
      <c r="H6" s="8"/>
      <c r="I6" s="8"/>
      <c r="J6" s="8"/>
      <c r="K6" s="8"/>
      <c r="L6" s="8"/>
      <c r="M6" s="8"/>
      <c r="N6" s="8"/>
    </row>
    <row r="7" spans="1:15" x14ac:dyDescent="0.3">
      <c r="A7" t="str">
        <f>_xlfn.CONCAT(B7,C7)</f>
        <v>SMBArtificial Intelligence</v>
      </c>
      <c r="B7" s="10" t="s">
        <v>4</v>
      </c>
      <c r="C7" s="11" t="s">
        <v>5</v>
      </c>
      <c r="D7" s="7"/>
      <c r="E7" s="12">
        <v>1869</v>
      </c>
      <c r="F7" s="12">
        <v>3211</v>
      </c>
      <c r="G7" s="12">
        <v>2405</v>
      </c>
      <c r="H7" s="12">
        <v>2490</v>
      </c>
      <c r="I7" s="12">
        <v>3789</v>
      </c>
      <c r="J7" s="12">
        <v>2298</v>
      </c>
      <c r="K7" s="12">
        <v>4440</v>
      </c>
      <c r="L7" s="12">
        <v>4901</v>
      </c>
      <c r="M7" s="12">
        <v>3828</v>
      </c>
      <c r="N7" s="12">
        <v>1808</v>
      </c>
    </row>
    <row r="8" spans="1:15" x14ac:dyDescent="0.3">
      <c r="A8" t="str">
        <f t="shared" ref="A8:A19" si="0">_xlfn.CONCAT(B8,C8)</f>
        <v>EnterpriseArtificial Intelligence</v>
      </c>
      <c r="B8" s="13" t="s">
        <v>6</v>
      </c>
      <c r="C8" s="14" t="s">
        <v>5</v>
      </c>
      <c r="D8" s="15"/>
      <c r="E8" s="16">
        <v>7987</v>
      </c>
      <c r="F8" s="16">
        <v>7978</v>
      </c>
      <c r="G8" s="16">
        <v>8045</v>
      </c>
      <c r="H8" s="16">
        <v>5075</v>
      </c>
      <c r="I8" s="16">
        <v>7242</v>
      </c>
      <c r="J8" s="16">
        <v>9330</v>
      </c>
      <c r="K8" s="16">
        <v>6979</v>
      </c>
      <c r="L8" s="16">
        <v>8809</v>
      </c>
      <c r="M8" s="16">
        <v>8073</v>
      </c>
      <c r="N8" s="16">
        <v>7814</v>
      </c>
      <c r="O8" s="17"/>
    </row>
    <row r="9" spans="1:15" x14ac:dyDescent="0.3">
      <c r="B9" s="10"/>
      <c r="C9" s="18" t="s">
        <v>7</v>
      </c>
      <c r="D9" s="19"/>
      <c r="E9" s="20">
        <f>SUM(E7:E8)</f>
        <v>9856</v>
      </c>
      <c r="F9" s="20">
        <f t="shared" ref="F9:N9" si="1">SUM(F7:F8)</f>
        <v>11189</v>
      </c>
      <c r="G9" s="20">
        <f t="shared" si="1"/>
        <v>10450</v>
      </c>
      <c r="H9" s="20">
        <f t="shared" si="1"/>
        <v>7565</v>
      </c>
      <c r="I9" s="20">
        <f t="shared" si="1"/>
        <v>11031</v>
      </c>
      <c r="J9" s="20">
        <f t="shared" si="1"/>
        <v>11628</v>
      </c>
      <c r="K9" s="20">
        <f t="shared" si="1"/>
        <v>11419</v>
      </c>
      <c r="L9" s="20">
        <f t="shared" si="1"/>
        <v>13710</v>
      </c>
      <c r="M9" s="20">
        <f t="shared" si="1"/>
        <v>11901</v>
      </c>
      <c r="N9" s="20">
        <f t="shared" si="1"/>
        <v>9622</v>
      </c>
    </row>
    <row r="10" spans="1:15" x14ac:dyDescent="0.3">
      <c r="D10" s="7"/>
      <c r="E10" s="12"/>
      <c r="F10" s="12"/>
      <c r="G10" s="12"/>
      <c r="H10" s="12"/>
      <c r="I10" s="12"/>
      <c r="J10" s="12"/>
      <c r="K10" s="12"/>
      <c r="L10" s="12"/>
      <c r="M10" s="12"/>
      <c r="N10" s="12"/>
    </row>
    <row r="11" spans="1:15" x14ac:dyDescent="0.3">
      <c r="D11" s="7"/>
      <c r="E11" s="12"/>
      <c r="F11" s="12"/>
      <c r="G11" s="12"/>
      <c r="H11" s="12"/>
      <c r="I11" s="12"/>
      <c r="J11" s="12"/>
      <c r="K11" s="12"/>
      <c r="L11" s="12"/>
      <c r="M11" s="12"/>
      <c r="N11" s="12"/>
    </row>
    <row r="12" spans="1:15" x14ac:dyDescent="0.3">
      <c r="A12" t="str">
        <f t="shared" si="0"/>
        <v>SMBMarketing</v>
      </c>
      <c r="B12" s="10" t="s">
        <v>4</v>
      </c>
      <c r="C12" s="11" t="s">
        <v>8</v>
      </c>
      <c r="D12" s="7"/>
      <c r="E12" s="12">
        <v>2184</v>
      </c>
      <c r="F12" s="12">
        <v>1395</v>
      </c>
      <c r="G12" s="12">
        <v>1625</v>
      </c>
      <c r="H12" s="12">
        <v>1710</v>
      </c>
      <c r="I12" s="12">
        <v>1738</v>
      </c>
      <c r="J12" s="12">
        <v>2471</v>
      </c>
      <c r="K12" s="12">
        <v>1689</v>
      </c>
      <c r="L12" s="12">
        <v>2300</v>
      </c>
      <c r="M12" s="12">
        <v>3500</v>
      </c>
      <c r="N12" s="12">
        <v>2150</v>
      </c>
    </row>
    <row r="13" spans="1:15" x14ac:dyDescent="0.3">
      <c r="A13" t="str">
        <f t="shared" si="0"/>
        <v>EnterpriseMarketing</v>
      </c>
      <c r="B13" s="13" t="s">
        <v>6</v>
      </c>
      <c r="C13" s="14" t="s">
        <v>8</v>
      </c>
      <c r="D13" s="15"/>
      <c r="E13" s="16">
        <v>3902</v>
      </c>
      <c r="F13" s="16">
        <v>3286</v>
      </c>
      <c r="G13" s="16">
        <v>2912</v>
      </c>
      <c r="H13" s="16">
        <v>4586</v>
      </c>
      <c r="I13" s="16">
        <v>2666</v>
      </c>
      <c r="J13" s="16">
        <v>4027</v>
      </c>
      <c r="K13" s="16">
        <v>2778</v>
      </c>
      <c r="L13" s="16">
        <v>5369</v>
      </c>
      <c r="M13" s="16">
        <v>4109</v>
      </c>
      <c r="N13" s="16">
        <v>3706</v>
      </c>
    </row>
    <row r="14" spans="1:15" x14ac:dyDescent="0.3">
      <c r="C14" s="18" t="s">
        <v>7</v>
      </c>
      <c r="D14" s="7"/>
      <c r="E14" s="20">
        <f>SUM(E12:E13)</f>
        <v>6086</v>
      </c>
      <c r="F14" s="20">
        <v>4682</v>
      </c>
      <c r="G14" s="20">
        <v>4537</v>
      </c>
      <c r="H14" s="20">
        <v>6296</v>
      </c>
      <c r="I14" s="20">
        <v>4404</v>
      </c>
      <c r="J14" s="20">
        <v>6498</v>
      </c>
      <c r="K14" s="20">
        <v>4467</v>
      </c>
      <c r="L14" s="20">
        <v>7670</v>
      </c>
      <c r="M14" s="20">
        <v>6610</v>
      </c>
      <c r="N14" s="20">
        <v>5856</v>
      </c>
    </row>
    <row r="15" spans="1:15" x14ac:dyDescent="0.3">
      <c r="D15" s="7"/>
      <c r="E15" s="12"/>
      <c r="F15" s="12"/>
      <c r="G15" s="12"/>
      <c r="H15" s="12"/>
      <c r="I15" s="12"/>
      <c r="J15" s="12"/>
      <c r="K15" s="12"/>
      <c r="L15" s="12"/>
      <c r="M15" s="12"/>
      <c r="N15" s="12"/>
    </row>
    <row r="16" spans="1:15" x14ac:dyDescent="0.3">
      <c r="D16" s="7"/>
      <c r="E16" s="12"/>
      <c r="F16" s="12"/>
      <c r="G16" s="12"/>
      <c r="H16" s="12"/>
      <c r="I16" s="12"/>
      <c r="J16" s="12"/>
      <c r="K16" s="12"/>
      <c r="L16" s="12"/>
      <c r="M16" s="12"/>
      <c r="N16" s="12"/>
    </row>
    <row r="17" spans="1:14" x14ac:dyDescent="0.3">
      <c r="D17" s="7"/>
      <c r="E17" s="12"/>
      <c r="F17" s="12"/>
      <c r="G17" s="12"/>
      <c r="H17" s="12"/>
      <c r="I17" s="12"/>
      <c r="J17" s="12"/>
      <c r="K17" s="12"/>
      <c r="L17" s="12"/>
      <c r="M17" s="12"/>
      <c r="N17" s="12"/>
    </row>
    <row r="18" spans="1:14" x14ac:dyDescent="0.3">
      <c r="A18" t="str">
        <f t="shared" si="0"/>
        <v>SMBAccounting</v>
      </c>
      <c r="B18" s="10" t="s">
        <v>4</v>
      </c>
      <c r="C18" s="11" t="s">
        <v>9</v>
      </c>
      <c r="D18" s="7"/>
      <c r="E18" s="12">
        <v>684</v>
      </c>
      <c r="F18" s="12">
        <v>2947</v>
      </c>
      <c r="G18" s="12">
        <v>1690</v>
      </c>
      <c r="H18" s="12">
        <v>1626</v>
      </c>
      <c r="I18" s="12">
        <v>3515</v>
      </c>
      <c r="J18" s="12">
        <v>2532</v>
      </c>
      <c r="K18" s="12">
        <v>1611</v>
      </c>
      <c r="L18" s="12">
        <v>455</v>
      </c>
      <c r="M18" s="12">
        <v>3022</v>
      </c>
      <c r="N18" s="12">
        <v>3867</v>
      </c>
    </row>
    <row r="19" spans="1:14" x14ac:dyDescent="0.3">
      <c r="A19" t="str">
        <f t="shared" si="0"/>
        <v>EnterpriseAccounting</v>
      </c>
      <c r="B19" s="13" t="s">
        <v>6</v>
      </c>
      <c r="C19" s="14" t="s">
        <v>9</v>
      </c>
      <c r="D19" s="15"/>
      <c r="E19" s="16">
        <v>4549</v>
      </c>
      <c r="F19" s="16">
        <v>2187</v>
      </c>
      <c r="G19" s="16">
        <v>6203</v>
      </c>
      <c r="H19" s="16">
        <v>1126</v>
      </c>
      <c r="I19" s="16">
        <v>4690</v>
      </c>
      <c r="J19" s="16">
        <v>5311</v>
      </c>
      <c r="K19" s="16">
        <v>6528</v>
      </c>
      <c r="L19" s="16">
        <v>7646</v>
      </c>
      <c r="M19" s="16">
        <v>5449</v>
      </c>
      <c r="N19" s="16">
        <v>4586</v>
      </c>
    </row>
    <row r="20" spans="1:14" x14ac:dyDescent="0.3">
      <c r="C20" s="18" t="s">
        <v>7</v>
      </c>
      <c r="D20" s="7"/>
      <c r="E20" s="20">
        <f>SUM(E18:E19)</f>
        <v>5233</v>
      </c>
      <c r="F20" s="20">
        <f t="shared" ref="F20:N20" si="2">SUM(F18:F19)</f>
        <v>5134</v>
      </c>
      <c r="G20" s="20">
        <f t="shared" si="2"/>
        <v>7893</v>
      </c>
      <c r="H20" s="20">
        <f t="shared" si="2"/>
        <v>2752</v>
      </c>
      <c r="I20" s="20">
        <f t="shared" si="2"/>
        <v>8205</v>
      </c>
      <c r="J20" s="20">
        <f t="shared" si="2"/>
        <v>7843</v>
      </c>
      <c r="K20" s="20">
        <f t="shared" si="2"/>
        <v>8139</v>
      </c>
      <c r="L20" s="20">
        <f t="shared" si="2"/>
        <v>8101</v>
      </c>
      <c r="M20" s="20">
        <f t="shared" si="2"/>
        <v>8471</v>
      </c>
      <c r="N20" s="20">
        <f t="shared" si="2"/>
        <v>8453</v>
      </c>
    </row>
    <row r="21" spans="1:14" x14ac:dyDescent="0.3">
      <c r="D21" s="7"/>
      <c r="E21" s="12"/>
      <c r="F21" s="12"/>
      <c r="G21" s="12"/>
      <c r="H21" s="12"/>
      <c r="I21" s="12"/>
      <c r="J21" s="12"/>
      <c r="K21" s="12"/>
      <c r="L21" s="12"/>
      <c r="M21" s="12"/>
      <c r="N21" s="12"/>
    </row>
    <row r="22" spans="1:14" x14ac:dyDescent="0.3">
      <c r="C22" s="21"/>
      <c r="D22" s="7"/>
      <c r="E22" s="12"/>
      <c r="F22" s="12"/>
      <c r="G22" s="12"/>
      <c r="H22" s="12"/>
      <c r="I22" s="12"/>
      <c r="J22" s="12"/>
      <c r="K22" s="12"/>
      <c r="L22" s="12"/>
      <c r="M22" s="12"/>
      <c r="N22" s="12"/>
    </row>
    <row r="23" spans="1:14" x14ac:dyDescent="0.3">
      <c r="B23" s="22" t="s">
        <v>10</v>
      </c>
      <c r="C23" s="23"/>
      <c r="D23" s="24"/>
      <c r="E23" s="25">
        <f>SUM(E9,E14,E20)</f>
        <v>21175</v>
      </c>
      <c r="F23" s="25">
        <f t="shared" ref="F23:N23" si="3">SUM(F9,F14,F20)</f>
        <v>21005</v>
      </c>
      <c r="G23" s="25">
        <f t="shared" si="3"/>
        <v>22880</v>
      </c>
      <c r="H23" s="25">
        <f t="shared" si="3"/>
        <v>16613</v>
      </c>
      <c r="I23" s="25">
        <f t="shared" si="3"/>
        <v>23640</v>
      </c>
      <c r="J23" s="25">
        <f t="shared" si="3"/>
        <v>25969</v>
      </c>
      <c r="K23" s="25">
        <f t="shared" si="3"/>
        <v>24025</v>
      </c>
      <c r="L23" s="25">
        <f t="shared" si="3"/>
        <v>29481</v>
      </c>
      <c r="M23" s="25">
        <f t="shared" si="3"/>
        <v>26982</v>
      </c>
      <c r="N23" s="25">
        <f t="shared" si="3"/>
        <v>23931</v>
      </c>
    </row>
    <row r="27" spans="1:14" x14ac:dyDescent="0.3">
      <c r="E27" s="12"/>
      <c r="F27" s="12"/>
      <c r="G27" s="12"/>
      <c r="H27" s="12"/>
      <c r="I27" s="12"/>
      <c r="J27" s="12"/>
      <c r="K27" s="12"/>
      <c r="L27" s="12"/>
      <c r="M27" s="12"/>
      <c r="N27" s="12"/>
    </row>
    <row r="28" spans="1:14" x14ac:dyDescent="0.3">
      <c r="E28" s="12"/>
      <c r="F28" s="12"/>
      <c r="G28" s="12"/>
      <c r="H28" s="12"/>
      <c r="I28" s="12"/>
      <c r="J28" s="12"/>
      <c r="K28" s="12"/>
      <c r="L28" s="12"/>
      <c r="M28" s="12"/>
      <c r="N28" s="12"/>
    </row>
    <row r="29" spans="1:14" x14ac:dyDescent="0.3">
      <c r="E29" s="12"/>
      <c r="F29" s="12"/>
      <c r="G29" s="12"/>
      <c r="H29" s="12"/>
      <c r="I29" s="12"/>
      <c r="J29" s="12"/>
      <c r="K29" s="12"/>
      <c r="L29" s="12"/>
      <c r="M29" s="12"/>
      <c r="N29" s="12"/>
    </row>
    <row r="30" spans="1:14" x14ac:dyDescent="0.3">
      <c r="E30" s="12"/>
      <c r="F30" s="12"/>
      <c r="G30" s="12"/>
      <c r="H30" s="12"/>
      <c r="I30" s="12"/>
      <c r="J30" s="12"/>
      <c r="K30" s="12"/>
      <c r="L30" s="12"/>
      <c r="M30" s="12"/>
      <c r="N30" s="12"/>
    </row>
    <row r="31" spans="1:14" x14ac:dyDescent="0.3">
      <c r="E31" s="12"/>
      <c r="F31" s="12"/>
      <c r="G31" s="12"/>
      <c r="H31" s="12"/>
      <c r="I31" s="12"/>
      <c r="J31" s="12"/>
      <c r="K31" s="12"/>
      <c r="L31" s="12"/>
      <c r="M31" s="12"/>
      <c r="N31" s="12"/>
    </row>
    <row r="32" spans="1:14" x14ac:dyDescent="0.3">
      <c r="E32" s="12"/>
      <c r="F32" s="12"/>
      <c r="G32" s="12"/>
      <c r="H32" s="12"/>
      <c r="I32" s="12"/>
      <c r="J32" s="12"/>
      <c r="K32" s="12"/>
      <c r="L32" s="12"/>
      <c r="M32" s="12"/>
      <c r="N32" s="12"/>
    </row>
    <row r="33" spans="5:14" x14ac:dyDescent="0.3">
      <c r="E33" s="12"/>
      <c r="F33" s="12"/>
      <c r="G33" s="12"/>
      <c r="H33" s="12"/>
      <c r="I33" s="12"/>
      <c r="J33" s="12"/>
      <c r="K33" s="12"/>
      <c r="L33" s="12"/>
      <c r="M33" s="12"/>
      <c r="N33" s="12"/>
    </row>
    <row r="34" spans="5:14" x14ac:dyDescent="0.3">
      <c r="E34" s="12"/>
      <c r="F34" s="12"/>
      <c r="G34" s="12"/>
      <c r="H34" s="12"/>
      <c r="I34" s="12"/>
      <c r="J34" s="12"/>
      <c r="K34" s="12"/>
      <c r="L34" s="12"/>
      <c r="M34" s="12"/>
      <c r="N34" s="12"/>
    </row>
    <row r="35" spans="5:14" x14ac:dyDescent="0.3">
      <c r="E35" s="12"/>
      <c r="F35" s="12"/>
      <c r="G35" s="12"/>
      <c r="H35" s="12"/>
      <c r="I35" s="12"/>
      <c r="J35" s="12"/>
      <c r="K35" s="12"/>
      <c r="L35" s="12"/>
      <c r="M35" s="12"/>
      <c r="N35" s="12"/>
    </row>
    <row r="36" spans="5:14" x14ac:dyDescent="0.3">
      <c r="E36" s="12"/>
      <c r="F36" s="12"/>
      <c r="G36" s="12"/>
      <c r="H36" s="12"/>
      <c r="I36" s="12"/>
      <c r="J36" s="12"/>
      <c r="K36" s="12"/>
      <c r="L36" s="12"/>
      <c r="M36" s="12"/>
      <c r="N36" s="12"/>
    </row>
    <row r="37" spans="5:14" x14ac:dyDescent="0.3">
      <c r="E37" s="12"/>
      <c r="F37" s="12"/>
      <c r="G37" s="12"/>
      <c r="H37" s="12"/>
      <c r="I37" s="12"/>
      <c r="J37" s="12"/>
      <c r="K37" s="12"/>
      <c r="L37" s="12"/>
      <c r="M37" s="12"/>
      <c r="N37" s="12"/>
    </row>
    <row r="38" spans="5:14" x14ac:dyDescent="0.3">
      <c r="E38" s="12"/>
      <c r="F38" s="12"/>
      <c r="G38" s="12"/>
      <c r="H38" s="12"/>
      <c r="I38" s="12"/>
      <c r="J38" s="12"/>
      <c r="K38" s="12"/>
      <c r="L38" s="12"/>
      <c r="M38" s="12"/>
      <c r="N38" s="12"/>
    </row>
    <row r="39" spans="5:14" x14ac:dyDescent="0.3">
      <c r="E39" s="12"/>
      <c r="F39" s="12"/>
      <c r="G39" s="12"/>
      <c r="H39" s="12"/>
      <c r="I39" s="12"/>
      <c r="J39" s="12"/>
      <c r="K39" s="12"/>
      <c r="L39" s="12"/>
      <c r="M39" s="12"/>
      <c r="N39" s="12"/>
    </row>
    <row r="40" spans="5:14" x14ac:dyDescent="0.3">
      <c r="E40" s="12"/>
      <c r="F40" s="12"/>
      <c r="G40" s="12"/>
      <c r="H40" s="12"/>
      <c r="I40" s="12"/>
      <c r="J40" s="12"/>
      <c r="K40" s="12"/>
      <c r="L40" s="12"/>
      <c r="M40" s="12"/>
      <c r="N40" s="12"/>
    </row>
    <row r="41" spans="5:14" x14ac:dyDescent="0.3">
      <c r="E41" s="12"/>
      <c r="F41" s="12"/>
      <c r="G41" s="12"/>
      <c r="H41" s="12"/>
      <c r="I41" s="12"/>
      <c r="J41" s="12"/>
      <c r="K41" s="12"/>
      <c r="L41" s="12"/>
      <c r="M41" s="12"/>
      <c r="N41" s="12"/>
    </row>
    <row r="42" spans="5:14" x14ac:dyDescent="0.3">
      <c r="E42" s="12"/>
      <c r="F42" s="12"/>
      <c r="G42" s="12"/>
      <c r="H42" s="12"/>
      <c r="I42" s="12"/>
      <c r="J42" s="12"/>
      <c r="K42" s="12"/>
      <c r="L42" s="12"/>
      <c r="M42" s="12"/>
      <c r="N42" s="12"/>
    </row>
    <row r="43" spans="5:14" x14ac:dyDescent="0.3">
      <c r="E43" s="12"/>
      <c r="F43" s="12"/>
      <c r="G43" s="12"/>
      <c r="H43" s="12"/>
      <c r="I43" s="12"/>
      <c r="J43" s="12"/>
      <c r="K43" s="12"/>
      <c r="L43" s="12"/>
      <c r="M43" s="12"/>
      <c r="N43" s="12"/>
    </row>
    <row r="44" spans="5:14" x14ac:dyDescent="0.3">
      <c r="E44" s="12"/>
      <c r="F44" s="12"/>
      <c r="G44" s="12"/>
      <c r="H44" s="12"/>
      <c r="I44" s="12"/>
      <c r="J44" s="12"/>
      <c r="K44" s="12"/>
      <c r="L44" s="12"/>
      <c r="M44" s="12"/>
      <c r="N44" s="12"/>
    </row>
    <row r="45" spans="5:14" x14ac:dyDescent="0.3">
      <c r="E45" s="12"/>
      <c r="F45" s="12"/>
      <c r="G45" s="12"/>
      <c r="H45" s="12"/>
      <c r="I45" s="12"/>
      <c r="J45" s="12"/>
      <c r="K45" s="12"/>
      <c r="L45" s="12"/>
      <c r="M45" s="12"/>
      <c r="N45" s="12"/>
    </row>
    <row r="46" spans="5:14" x14ac:dyDescent="0.3">
      <c r="E46" s="12"/>
      <c r="F46" s="12"/>
      <c r="G46" s="12"/>
      <c r="H46" s="12"/>
      <c r="I46" s="12"/>
      <c r="J46" s="12"/>
      <c r="K46" s="12"/>
      <c r="L46" s="12"/>
      <c r="M46" s="12"/>
      <c r="N46" s="12"/>
    </row>
    <row r="47" spans="5:14" x14ac:dyDescent="0.3">
      <c r="E47" s="12"/>
      <c r="F47" s="12"/>
      <c r="G47" s="12"/>
      <c r="H47" s="12"/>
      <c r="I47" s="12"/>
      <c r="J47" s="12"/>
      <c r="K47" s="12"/>
      <c r="L47" s="12"/>
      <c r="M47" s="12"/>
      <c r="N47" s="12"/>
    </row>
    <row r="48" spans="5:14" x14ac:dyDescent="0.3">
      <c r="E48" s="12"/>
      <c r="F48" s="12"/>
      <c r="G48" s="12"/>
      <c r="H48" s="12"/>
      <c r="I48" s="12"/>
      <c r="J48" s="12"/>
      <c r="K48" s="12"/>
      <c r="L48" s="12"/>
      <c r="M48" s="12"/>
      <c r="N48" s="12"/>
    </row>
    <row r="49" spans="5:14" x14ac:dyDescent="0.3">
      <c r="E49" s="12"/>
      <c r="F49" s="12"/>
      <c r="G49" s="12"/>
      <c r="H49" s="12"/>
      <c r="I49" s="12"/>
      <c r="J49" s="12"/>
      <c r="K49" s="12"/>
      <c r="L49" s="12"/>
      <c r="M49" s="12"/>
      <c r="N49" s="12"/>
    </row>
    <row r="50" spans="5:14" x14ac:dyDescent="0.3">
      <c r="E50" s="12"/>
      <c r="F50" s="12"/>
      <c r="G50" s="12"/>
      <c r="H50" s="12"/>
      <c r="I50" s="12"/>
      <c r="J50" s="12"/>
      <c r="K50" s="12"/>
      <c r="L50" s="12"/>
      <c r="M50" s="12"/>
      <c r="N50" s="12"/>
    </row>
    <row r="51" spans="5:14" x14ac:dyDescent="0.3">
      <c r="E51" s="12"/>
      <c r="F51" s="12"/>
      <c r="G51" s="12"/>
      <c r="H51" s="12"/>
      <c r="I51" s="12"/>
      <c r="J51" s="12"/>
      <c r="K51" s="12"/>
      <c r="L51" s="12"/>
      <c r="M51" s="12"/>
      <c r="N51" s="12"/>
    </row>
    <row r="52" spans="5:14" x14ac:dyDescent="0.3">
      <c r="E52" s="12"/>
      <c r="F52" s="12"/>
      <c r="G52" s="12"/>
      <c r="H52" s="12"/>
      <c r="I52" s="12"/>
      <c r="J52" s="12"/>
      <c r="K52" s="12"/>
      <c r="L52" s="12"/>
      <c r="M52" s="12"/>
      <c r="N52" s="12"/>
    </row>
    <row r="53" spans="5:14" x14ac:dyDescent="0.3">
      <c r="E53" s="12"/>
      <c r="F53" s="12"/>
      <c r="G53" s="12"/>
      <c r="H53" s="12"/>
      <c r="I53" s="12"/>
      <c r="J53" s="12"/>
      <c r="K53" s="12"/>
      <c r="L53" s="12"/>
      <c r="M53" s="12"/>
      <c r="N53" s="12"/>
    </row>
    <row r="54" spans="5:14" x14ac:dyDescent="0.3">
      <c r="E54" s="12"/>
      <c r="F54" s="12"/>
      <c r="G54" s="12"/>
      <c r="H54" s="12"/>
      <c r="I54" s="12"/>
      <c r="J54" s="12"/>
      <c r="K54" s="12"/>
      <c r="L54" s="12"/>
      <c r="M54" s="12"/>
      <c r="N54" s="12"/>
    </row>
    <row r="55" spans="5:14" x14ac:dyDescent="0.3">
      <c r="E55" s="12"/>
      <c r="F55" s="12"/>
      <c r="G55" s="12"/>
      <c r="H55" s="12"/>
      <c r="I55" s="12"/>
      <c r="J55" s="12"/>
      <c r="K55" s="12"/>
      <c r="L55" s="12"/>
      <c r="M55" s="12"/>
      <c r="N55" s="12"/>
    </row>
    <row r="56" spans="5:14" x14ac:dyDescent="0.3">
      <c r="E56" s="12"/>
      <c r="F56" s="12"/>
      <c r="G56" s="12"/>
      <c r="H56" s="12"/>
      <c r="I56" s="12"/>
      <c r="J56" s="12"/>
      <c r="K56" s="12"/>
      <c r="L56" s="12"/>
      <c r="M56" s="12"/>
      <c r="N56"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773E-A920-BD45-BD32-33783167D216}">
  <dimension ref="A1:F61"/>
  <sheetViews>
    <sheetView topLeftCell="A34" workbookViewId="0">
      <selection activeCell="D2" sqref="D2"/>
    </sheetView>
  </sheetViews>
  <sheetFormatPr defaultColWidth="11.19921875" defaultRowHeight="15.6" x14ac:dyDescent="0.3"/>
  <cols>
    <col min="2" max="2" width="14.19921875" style="1" customWidth="1"/>
    <col min="3" max="3" width="18" bestFit="1" customWidth="1"/>
    <col min="4" max="4" width="24.8984375" bestFit="1" customWidth="1"/>
    <col min="5" max="5" width="16.796875" customWidth="1"/>
    <col min="6" max="6" width="14.19921875" customWidth="1"/>
  </cols>
  <sheetData>
    <row r="1" spans="1:6" x14ac:dyDescent="0.3">
      <c r="A1" s="8" t="s">
        <v>11</v>
      </c>
      <c r="B1" s="27" t="s">
        <v>0</v>
      </c>
      <c r="C1" s="8" t="s">
        <v>16</v>
      </c>
      <c r="D1" s="8" t="s">
        <v>21</v>
      </c>
      <c r="E1" s="8" t="s">
        <v>12</v>
      </c>
      <c r="F1" s="8" t="s">
        <v>13</v>
      </c>
    </row>
    <row r="2" spans="1:6" x14ac:dyDescent="0.3">
      <c r="A2" t="s">
        <v>14</v>
      </c>
      <c r="B2" s="1">
        <v>2018</v>
      </c>
      <c r="C2" s="11" t="s">
        <v>5</v>
      </c>
      <c r="D2" t="str">
        <f>_xlfn.CONCAT(A2,B2,C2)</f>
        <v>USA2018Artificial Intelligence</v>
      </c>
      <c r="E2" s="26">
        <v>0.5</v>
      </c>
      <c r="F2" s="26">
        <v>0.2</v>
      </c>
    </row>
    <row r="3" spans="1:6" x14ac:dyDescent="0.3">
      <c r="A3" t="s">
        <v>14</v>
      </c>
      <c r="B3" s="1">
        <v>2019</v>
      </c>
      <c r="C3" s="11" t="s">
        <v>5</v>
      </c>
      <c r="D3" t="str">
        <f t="shared" ref="D3:D33" si="0">_xlfn.CONCAT(A3,B3,C3)</f>
        <v>USA2019Artificial Intelligence</v>
      </c>
      <c r="E3" s="26">
        <v>0.5</v>
      </c>
      <c r="F3" s="26">
        <v>0.1</v>
      </c>
    </row>
    <row r="4" spans="1:6" x14ac:dyDescent="0.3">
      <c r="A4" t="s">
        <v>14</v>
      </c>
      <c r="B4" s="1">
        <v>2020</v>
      </c>
      <c r="C4" s="11" t="s">
        <v>5</v>
      </c>
      <c r="D4" t="str">
        <f t="shared" si="0"/>
        <v>USA2020Artificial Intelligence</v>
      </c>
      <c r="E4" s="26">
        <v>0.8</v>
      </c>
      <c r="F4" s="26">
        <v>0.2</v>
      </c>
    </row>
    <row r="5" spans="1:6" x14ac:dyDescent="0.3">
      <c r="A5" t="s">
        <v>14</v>
      </c>
      <c r="B5" s="1">
        <v>2021</v>
      </c>
      <c r="C5" s="11" t="s">
        <v>5</v>
      </c>
      <c r="D5" t="str">
        <f t="shared" si="0"/>
        <v>USA2021Artificial Intelligence</v>
      </c>
      <c r="E5" s="26">
        <v>0.60000000000000009</v>
      </c>
      <c r="F5" s="26">
        <v>0.2</v>
      </c>
    </row>
    <row r="6" spans="1:6" x14ac:dyDescent="0.3">
      <c r="A6" t="s">
        <v>14</v>
      </c>
      <c r="B6" s="1">
        <v>2022</v>
      </c>
      <c r="C6" s="11" t="s">
        <v>5</v>
      </c>
      <c r="D6" t="str">
        <f t="shared" si="0"/>
        <v>USA2022Artificial Intelligence</v>
      </c>
      <c r="E6" s="26">
        <v>0.70000000000000007</v>
      </c>
      <c r="F6" s="26">
        <v>0.1</v>
      </c>
    </row>
    <row r="7" spans="1:6" x14ac:dyDescent="0.3">
      <c r="A7" t="s">
        <v>14</v>
      </c>
      <c r="B7" s="1">
        <v>2023</v>
      </c>
      <c r="C7" s="11" t="s">
        <v>5</v>
      </c>
      <c r="D7" t="str">
        <f t="shared" si="0"/>
        <v>USA2023Artificial Intelligence</v>
      </c>
      <c r="E7" s="26">
        <v>0.70000000000000007</v>
      </c>
      <c r="F7" s="26">
        <v>0.2</v>
      </c>
    </row>
    <row r="8" spans="1:6" x14ac:dyDescent="0.3">
      <c r="A8" t="s">
        <v>14</v>
      </c>
      <c r="B8" s="1">
        <v>2024</v>
      </c>
      <c r="C8" s="11" t="s">
        <v>5</v>
      </c>
      <c r="D8" t="str">
        <f t="shared" si="0"/>
        <v>USA2024Artificial Intelligence</v>
      </c>
      <c r="E8" s="26">
        <v>0.5</v>
      </c>
      <c r="F8" s="26">
        <v>0.2</v>
      </c>
    </row>
    <row r="9" spans="1:6" x14ac:dyDescent="0.3">
      <c r="A9" t="s">
        <v>14</v>
      </c>
      <c r="B9" s="1">
        <v>2025</v>
      </c>
      <c r="C9" s="11" t="s">
        <v>5</v>
      </c>
      <c r="D9" t="str">
        <f t="shared" si="0"/>
        <v>USA2025Artificial Intelligence</v>
      </c>
      <c r="E9" s="26">
        <v>0.60000000000000009</v>
      </c>
      <c r="F9" s="26">
        <v>0.1</v>
      </c>
    </row>
    <row r="10" spans="1:6" x14ac:dyDescent="0.3">
      <c r="A10" t="s">
        <v>14</v>
      </c>
      <c r="B10" s="1">
        <v>2026</v>
      </c>
      <c r="C10" s="11" t="s">
        <v>5</v>
      </c>
      <c r="D10" t="str">
        <f t="shared" si="0"/>
        <v>USA2026Artificial Intelligence</v>
      </c>
      <c r="E10" s="26">
        <v>0.5</v>
      </c>
      <c r="F10" s="26">
        <v>0.2</v>
      </c>
    </row>
    <row r="11" spans="1:6" x14ac:dyDescent="0.3">
      <c r="A11" t="s">
        <v>14</v>
      </c>
      <c r="B11" s="1">
        <v>2027</v>
      </c>
      <c r="C11" s="11" t="s">
        <v>5</v>
      </c>
      <c r="D11" t="str">
        <f t="shared" si="0"/>
        <v>USA2027Artificial Intelligence</v>
      </c>
      <c r="E11" s="26">
        <v>0.5</v>
      </c>
      <c r="F11" s="26">
        <v>0.1</v>
      </c>
    </row>
    <row r="12" spans="1:6" x14ac:dyDescent="0.3">
      <c r="A12" t="s">
        <v>14</v>
      </c>
      <c r="B12" s="1">
        <v>2018</v>
      </c>
      <c r="C12" s="11" t="s">
        <v>8</v>
      </c>
      <c r="D12" t="str">
        <f t="shared" si="0"/>
        <v>USA2018Marketing</v>
      </c>
      <c r="E12" s="26">
        <v>0.70000000000000007</v>
      </c>
      <c r="F12" s="26">
        <v>0.2</v>
      </c>
    </row>
    <row r="13" spans="1:6" x14ac:dyDescent="0.3">
      <c r="A13" t="s">
        <v>14</v>
      </c>
      <c r="B13" s="1">
        <v>2019</v>
      </c>
      <c r="C13" s="11" t="s">
        <v>8</v>
      </c>
      <c r="D13" t="str">
        <f t="shared" si="0"/>
        <v>USA2019Marketing</v>
      </c>
      <c r="E13" s="26">
        <v>0.5</v>
      </c>
      <c r="F13" s="26">
        <v>0.1</v>
      </c>
    </row>
    <row r="14" spans="1:6" x14ac:dyDescent="0.3">
      <c r="A14" t="s">
        <v>14</v>
      </c>
      <c r="B14" s="1">
        <v>2020</v>
      </c>
      <c r="C14" s="11" t="s">
        <v>8</v>
      </c>
      <c r="D14" t="str">
        <f t="shared" si="0"/>
        <v>USA2020Marketing</v>
      </c>
      <c r="E14" s="26">
        <v>0.5</v>
      </c>
      <c r="F14" s="26">
        <v>0.1</v>
      </c>
    </row>
    <row r="15" spans="1:6" x14ac:dyDescent="0.3">
      <c r="A15" t="s">
        <v>14</v>
      </c>
      <c r="B15" s="1">
        <v>2021</v>
      </c>
      <c r="C15" s="11" t="s">
        <v>8</v>
      </c>
      <c r="D15" t="str">
        <f t="shared" si="0"/>
        <v>USA2021Marketing</v>
      </c>
      <c r="E15" s="26">
        <v>0.70000000000000007</v>
      </c>
      <c r="F15" s="26">
        <v>0.1</v>
      </c>
    </row>
    <row r="16" spans="1:6" x14ac:dyDescent="0.3">
      <c r="A16" t="s">
        <v>14</v>
      </c>
      <c r="B16" s="1">
        <v>2022</v>
      </c>
      <c r="C16" s="11" t="s">
        <v>8</v>
      </c>
      <c r="D16" t="str">
        <f t="shared" si="0"/>
        <v>USA2022Marketing</v>
      </c>
      <c r="E16" s="26">
        <v>0.5</v>
      </c>
      <c r="F16" s="26">
        <v>0.1</v>
      </c>
    </row>
    <row r="17" spans="1:6" x14ac:dyDescent="0.3">
      <c r="A17" t="s">
        <v>14</v>
      </c>
      <c r="B17" s="1">
        <v>2023</v>
      </c>
      <c r="C17" s="11" t="s">
        <v>8</v>
      </c>
      <c r="D17" t="str">
        <f t="shared" si="0"/>
        <v>USA2023Marketing</v>
      </c>
      <c r="E17" s="26">
        <v>0.70000000000000007</v>
      </c>
      <c r="F17" s="26">
        <v>0.2</v>
      </c>
    </row>
    <row r="18" spans="1:6" x14ac:dyDescent="0.3">
      <c r="A18" t="s">
        <v>14</v>
      </c>
      <c r="B18" s="1">
        <v>2024</v>
      </c>
      <c r="C18" s="11" t="s">
        <v>8</v>
      </c>
      <c r="D18" t="str">
        <f t="shared" si="0"/>
        <v>USA2024Marketing</v>
      </c>
      <c r="E18" s="26">
        <v>0.5</v>
      </c>
      <c r="F18" s="26">
        <v>0.1</v>
      </c>
    </row>
    <row r="19" spans="1:6" x14ac:dyDescent="0.3">
      <c r="A19" t="s">
        <v>14</v>
      </c>
      <c r="B19" s="1">
        <v>2025</v>
      </c>
      <c r="C19" s="11" t="s">
        <v>8</v>
      </c>
      <c r="D19" t="str">
        <f t="shared" si="0"/>
        <v>USA2025Marketing</v>
      </c>
      <c r="E19" s="26">
        <v>0.70000000000000007</v>
      </c>
      <c r="F19" s="26">
        <v>0.2</v>
      </c>
    </row>
    <row r="20" spans="1:6" x14ac:dyDescent="0.3">
      <c r="A20" t="s">
        <v>14</v>
      </c>
      <c r="B20" s="1">
        <v>2026</v>
      </c>
      <c r="C20" s="11" t="s">
        <v>8</v>
      </c>
      <c r="D20" t="str">
        <f t="shared" si="0"/>
        <v>USA2026Marketing</v>
      </c>
      <c r="E20" s="26">
        <v>0.60000000000000009</v>
      </c>
      <c r="F20" s="26">
        <v>0.2</v>
      </c>
    </row>
    <row r="21" spans="1:6" x14ac:dyDescent="0.3">
      <c r="A21" t="s">
        <v>14</v>
      </c>
      <c r="B21" s="1">
        <v>2027</v>
      </c>
      <c r="C21" s="11" t="s">
        <v>8</v>
      </c>
      <c r="D21" t="str">
        <f t="shared" si="0"/>
        <v>USA2027Marketing</v>
      </c>
      <c r="E21" s="26">
        <v>0.5</v>
      </c>
      <c r="F21" s="26">
        <v>0.2</v>
      </c>
    </row>
    <row r="22" spans="1:6" x14ac:dyDescent="0.3">
      <c r="A22" t="s">
        <v>14</v>
      </c>
      <c r="B22" s="1">
        <v>2018</v>
      </c>
      <c r="C22" s="11" t="s">
        <v>9</v>
      </c>
      <c r="D22" t="str">
        <f>_xlfn.CONCAT(A22,B22,C22)</f>
        <v>USA2018Accounting</v>
      </c>
      <c r="E22" s="26">
        <v>0.70000000000000007</v>
      </c>
      <c r="F22" s="26">
        <v>0.1</v>
      </c>
    </row>
    <row r="23" spans="1:6" x14ac:dyDescent="0.3">
      <c r="A23" t="s">
        <v>14</v>
      </c>
      <c r="B23" s="1">
        <v>2019</v>
      </c>
      <c r="C23" s="11" t="s">
        <v>9</v>
      </c>
      <c r="D23" t="str">
        <f t="shared" si="0"/>
        <v>USA2019Accounting</v>
      </c>
      <c r="E23" s="26">
        <v>0.60000000000000009</v>
      </c>
      <c r="F23" s="26">
        <v>0.2</v>
      </c>
    </row>
    <row r="24" spans="1:6" x14ac:dyDescent="0.3">
      <c r="A24" t="s">
        <v>14</v>
      </c>
      <c r="B24" s="1">
        <v>2020</v>
      </c>
      <c r="C24" s="11" t="s">
        <v>9</v>
      </c>
      <c r="D24" t="str">
        <f t="shared" si="0"/>
        <v>USA2020Accounting</v>
      </c>
      <c r="E24" s="26">
        <v>0.8</v>
      </c>
      <c r="F24" s="26">
        <v>0.2</v>
      </c>
    </row>
    <row r="25" spans="1:6" x14ac:dyDescent="0.3">
      <c r="A25" t="s">
        <v>14</v>
      </c>
      <c r="B25" s="1">
        <v>2021</v>
      </c>
      <c r="C25" s="11" t="s">
        <v>9</v>
      </c>
      <c r="D25" t="str">
        <f t="shared" si="0"/>
        <v>USA2021Accounting</v>
      </c>
      <c r="E25" s="26">
        <v>0.8</v>
      </c>
      <c r="F25" s="26">
        <v>0.2</v>
      </c>
    </row>
    <row r="26" spans="1:6" x14ac:dyDescent="0.3">
      <c r="A26" t="s">
        <v>14</v>
      </c>
      <c r="B26" s="1">
        <v>2022</v>
      </c>
      <c r="C26" s="11" t="s">
        <v>9</v>
      </c>
      <c r="D26" t="str">
        <f t="shared" si="0"/>
        <v>USA2022Accounting</v>
      </c>
      <c r="E26" s="26">
        <v>0.8</v>
      </c>
      <c r="F26" s="26">
        <v>0.1</v>
      </c>
    </row>
    <row r="27" spans="1:6" x14ac:dyDescent="0.3">
      <c r="A27" t="s">
        <v>14</v>
      </c>
      <c r="B27" s="1">
        <v>2023</v>
      </c>
      <c r="C27" s="11" t="s">
        <v>9</v>
      </c>
      <c r="D27" t="str">
        <f t="shared" si="0"/>
        <v>USA2023Accounting</v>
      </c>
      <c r="E27" s="26">
        <v>0.8</v>
      </c>
      <c r="F27" s="26">
        <v>0.1</v>
      </c>
    </row>
    <row r="28" spans="1:6" x14ac:dyDescent="0.3">
      <c r="A28" t="s">
        <v>14</v>
      </c>
      <c r="B28" s="1">
        <v>2024</v>
      </c>
      <c r="C28" s="11" t="s">
        <v>9</v>
      </c>
      <c r="D28" t="str">
        <f t="shared" si="0"/>
        <v>USA2024Accounting</v>
      </c>
      <c r="E28" s="26">
        <v>0.70000000000000007</v>
      </c>
      <c r="F28" s="26">
        <v>0.1</v>
      </c>
    </row>
    <row r="29" spans="1:6" x14ac:dyDescent="0.3">
      <c r="A29" t="s">
        <v>14</v>
      </c>
      <c r="B29" s="1">
        <v>2025</v>
      </c>
      <c r="C29" s="11" t="s">
        <v>9</v>
      </c>
      <c r="D29" t="str">
        <f t="shared" si="0"/>
        <v>USA2025Accounting</v>
      </c>
      <c r="E29" s="26">
        <v>0.5</v>
      </c>
      <c r="F29" s="26">
        <v>0.2</v>
      </c>
    </row>
    <row r="30" spans="1:6" x14ac:dyDescent="0.3">
      <c r="A30" t="s">
        <v>14</v>
      </c>
      <c r="B30" s="1">
        <v>2026</v>
      </c>
      <c r="C30" s="11" t="s">
        <v>9</v>
      </c>
      <c r="D30" t="str">
        <f t="shared" si="0"/>
        <v>USA2026Accounting</v>
      </c>
      <c r="E30" s="26">
        <v>0.5</v>
      </c>
      <c r="F30" s="26">
        <v>0.2</v>
      </c>
    </row>
    <row r="31" spans="1:6" x14ac:dyDescent="0.3">
      <c r="A31" t="s">
        <v>14</v>
      </c>
      <c r="B31" s="1">
        <v>2027</v>
      </c>
      <c r="C31" s="11" t="s">
        <v>9</v>
      </c>
      <c r="D31" t="str">
        <f t="shared" si="0"/>
        <v>USA2027Accounting</v>
      </c>
      <c r="E31" s="26">
        <v>0.60000000000000009</v>
      </c>
      <c r="F31" s="26">
        <v>0.2</v>
      </c>
    </row>
    <row r="32" spans="1:6" x14ac:dyDescent="0.3">
      <c r="A32" t="s">
        <v>15</v>
      </c>
      <c r="B32" s="1">
        <v>2018</v>
      </c>
      <c r="C32" s="11" t="s">
        <v>5</v>
      </c>
      <c r="D32" t="str">
        <f t="shared" si="0"/>
        <v>Canada2018Artificial Intelligence</v>
      </c>
      <c r="E32" s="26">
        <v>0.60000000000000009</v>
      </c>
      <c r="F32" s="26">
        <v>0.2</v>
      </c>
    </row>
    <row r="33" spans="1:6" x14ac:dyDescent="0.3">
      <c r="A33" t="s">
        <v>15</v>
      </c>
      <c r="B33" s="1">
        <v>2019</v>
      </c>
      <c r="C33" s="11" t="s">
        <v>5</v>
      </c>
      <c r="D33" t="str">
        <f t="shared" si="0"/>
        <v>Canada2019Artificial Intelligence</v>
      </c>
      <c r="E33" s="26">
        <v>0.60000000000000009</v>
      </c>
      <c r="F33" s="26">
        <v>0.2</v>
      </c>
    </row>
    <row r="34" spans="1:6" x14ac:dyDescent="0.3">
      <c r="A34" t="s">
        <v>15</v>
      </c>
      <c r="B34" s="1">
        <v>2020</v>
      </c>
      <c r="C34" s="11" t="s">
        <v>5</v>
      </c>
      <c r="D34" t="str">
        <f t="shared" ref="D34:D61" si="1">_xlfn.CONCAT(A34,B34,C34)</f>
        <v>Canada2020Artificial Intelligence</v>
      </c>
      <c r="E34" s="26">
        <v>0.70000000000000007</v>
      </c>
      <c r="F34" s="26">
        <v>0.2</v>
      </c>
    </row>
    <row r="35" spans="1:6" x14ac:dyDescent="0.3">
      <c r="A35" t="s">
        <v>15</v>
      </c>
      <c r="B35" s="1">
        <v>2021</v>
      </c>
      <c r="C35" s="11" t="s">
        <v>5</v>
      </c>
      <c r="D35" t="str">
        <f t="shared" si="1"/>
        <v>Canada2021Artificial Intelligence</v>
      </c>
      <c r="E35" s="26">
        <v>0.60000000000000009</v>
      </c>
      <c r="F35" s="26">
        <v>0.2</v>
      </c>
    </row>
    <row r="36" spans="1:6" x14ac:dyDescent="0.3">
      <c r="A36" t="s">
        <v>15</v>
      </c>
      <c r="B36" s="1">
        <v>2022</v>
      </c>
      <c r="C36" s="11" t="s">
        <v>5</v>
      </c>
      <c r="D36" t="str">
        <f t="shared" si="1"/>
        <v>Canada2022Artificial Intelligence</v>
      </c>
      <c r="E36" s="26">
        <v>0.70000000000000007</v>
      </c>
      <c r="F36" s="26">
        <v>0.2</v>
      </c>
    </row>
    <row r="37" spans="1:6" x14ac:dyDescent="0.3">
      <c r="A37" t="s">
        <v>15</v>
      </c>
      <c r="B37" s="1">
        <v>2023</v>
      </c>
      <c r="C37" s="11" t="s">
        <v>5</v>
      </c>
      <c r="D37" t="str">
        <f t="shared" si="1"/>
        <v>Canada2023Artificial Intelligence</v>
      </c>
      <c r="E37" s="26">
        <v>0.70000000000000007</v>
      </c>
      <c r="F37" s="26">
        <v>0.2</v>
      </c>
    </row>
    <row r="38" spans="1:6" x14ac:dyDescent="0.3">
      <c r="A38" t="s">
        <v>15</v>
      </c>
      <c r="B38" s="1">
        <v>2024</v>
      </c>
      <c r="C38" s="11" t="s">
        <v>5</v>
      </c>
      <c r="D38" t="str">
        <f t="shared" si="1"/>
        <v>Canada2024Artificial Intelligence</v>
      </c>
      <c r="E38" s="26">
        <v>0.70000000000000007</v>
      </c>
      <c r="F38" s="26">
        <v>0.1</v>
      </c>
    </row>
    <row r="39" spans="1:6" x14ac:dyDescent="0.3">
      <c r="A39" t="s">
        <v>15</v>
      </c>
      <c r="B39" s="1">
        <v>2025</v>
      </c>
      <c r="C39" s="11" t="s">
        <v>5</v>
      </c>
      <c r="D39" t="str">
        <f t="shared" si="1"/>
        <v>Canada2025Artificial Intelligence</v>
      </c>
      <c r="E39" s="26">
        <v>0.5</v>
      </c>
      <c r="F39" s="26">
        <v>0.1</v>
      </c>
    </row>
    <row r="40" spans="1:6" x14ac:dyDescent="0.3">
      <c r="A40" t="s">
        <v>15</v>
      </c>
      <c r="B40" s="1">
        <v>2026</v>
      </c>
      <c r="C40" s="11" t="s">
        <v>5</v>
      </c>
      <c r="D40" t="str">
        <f t="shared" si="1"/>
        <v>Canada2026Artificial Intelligence</v>
      </c>
      <c r="E40" s="26">
        <v>0.60000000000000009</v>
      </c>
      <c r="F40" s="26">
        <v>0.2</v>
      </c>
    </row>
    <row r="41" spans="1:6" x14ac:dyDescent="0.3">
      <c r="A41" t="s">
        <v>15</v>
      </c>
      <c r="B41" s="1">
        <v>2027</v>
      </c>
      <c r="C41" s="11" t="s">
        <v>5</v>
      </c>
      <c r="D41" t="str">
        <f t="shared" si="1"/>
        <v>Canada2027Artificial Intelligence</v>
      </c>
      <c r="E41" s="26">
        <v>0.5</v>
      </c>
      <c r="F41" s="26">
        <v>0.2</v>
      </c>
    </row>
    <row r="42" spans="1:6" x14ac:dyDescent="0.3">
      <c r="A42" t="s">
        <v>15</v>
      </c>
      <c r="B42" s="1">
        <v>2018</v>
      </c>
      <c r="C42" s="11" t="s">
        <v>8</v>
      </c>
      <c r="D42" t="str">
        <f t="shared" si="1"/>
        <v>Canada2018Marketing</v>
      </c>
      <c r="E42" s="26">
        <v>0.8</v>
      </c>
      <c r="F42" s="26">
        <v>0.1</v>
      </c>
    </row>
    <row r="43" spans="1:6" x14ac:dyDescent="0.3">
      <c r="A43" t="s">
        <v>15</v>
      </c>
      <c r="B43" s="1">
        <v>2019</v>
      </c>
      <c r="C43" s="11" t="s">
        <v>8</v>
      </c>
      <c r="D43" t="str">
        <f t="shared" si="1"/>
        <v>Canada2019Marketing</v>
      </c>
      <c r="E43" s="26">
        <v>0.70000000000000007</v>
      </c>
      <c r="F43" s="26">
        <v>0.1</v>
      </c>
    </row>
    <row r="44" spans="1:6" x14ac:dyDescent="0.3">
      <c r="A44" t="s">
        <v>15</v>
      </c>
      <c r="B44" s="1">
        <v>2020</v>
      </c>
      <c r="C44" s="11" t="s">
        <v>8</v>
      </c>
      <c r="D44" t="str">
        <f t="shared" si="1"/>
        <v>Canada2020Marketing</v>
      </c>
      <c r="E44" s="26">
        <v>0.60000000000000009</v>
      </c>
      <c r="F44" s="26">
        <v>0.1</v>
      </c>
    </row>
    <row r="45" spans="1:6" x14ac:dyDescent="0.3">
      <c r="A45" t="s">
        <v>15</v>
      </c>
      <c r="B45" s="1">
        <v>2021</v>
      </c>
      <c r="C45" s="11" t="s">
        <v>8</v>
      </c>
      <c r="D45" t="str">
        <f t="shared" si="1"/>
        <v>Canada2021Marketing</v>
      </c>
      <c r="E45" s="26">
        <v>0.5</v>
      </c>
      <c r="F45" s="26">
        <v>0.2</v>
      </c>
    </row>
    <row r="46" spans="1:6" x14ac:dyDescent="0.3">
      <c r="A46" t="s">
        <v>15</v>
      </c>
      <c r="B46" s="1">
        <v>2022</v>
      </c>
      <c r="C46" s="11" t="s">
        <v>8</v>
      </c>
      <c r="D46" t="str">
        <f t="shared" si="1"/>
        <v>Canada2022Marketing</v>
      </c>
      <c r="E46" s="26">
        <v>0.5</v>
      </c>
      <c r="F46" s="26">
        <v>0.2</v>
      </c>
    </row>
    <row r="47" spans="1:6" x14ac:dyDescent="0.3">
      <c r="A47" t="s">
        <v>15</v>
      </c>
      <c r="B47" s="1">
        <v>2023</v>
      </c>
      <c r="C47" s="11" t="s">
        <v>8</v>
      </c>
      <c r="D47" t="str">
        <f t="shared" si="1"/>
        <v>Canada2023Marketing</v>
      </c>
      <c r="E47" s="26">
        <v>0.70000000000000007</v>
      </c>
      <c r="F47" s="26">
        <v>0.2</v>
      </c>
    </row>
    <row r="48" spans="1:6" x14ac:dyDescent="0.3">
      <c r="A48" t="s">
        <v>15</v>
      </c>
      <c r="B48" s="1">
        <v>2024</v>
      </c>
      <c r="C48" s="11" t="s">
        <v>8</v>
      </c>
      <c r="D48" t="str">
        <f t="shared" si="1"/>
        <v>Canada2024Marketing</v>
      </c>
      <c r="E48" s="26">
        <v>0.5</v>
      </c>
      <c r="F48" s="26">
        <v>0.2</v>
      </c>
    </row>
    <row r="49" spans="1:6" x14ac:dyDescent="0.3">
      <c r="A49" t="s">
        <v>15</v>
      </c>
      <c r="B49" s="1">
        <v>2025</v>
      </c>
      <c r="C49" s="11" t="s">
        <v>8</v>
      </c>
      <c r="D49" t="str">
        <f t="shared" si="1"/>
        <v>Canada2025Marketing</v>
      </c>
      <c r="E49" s="26">
        <v>0.5</v>
      </c>
      <c r="F49" s="26">
        <v>0.2</v>
      </c>
    </row>
    <row r="50" spans="1:6" x14ac:dyDescent="0.3">
      <c r="A50" t="s">
        <v>15</v>
      </c>
      <c r="B50" s="1">
        <v>2026</v>
      </c>
      <c r="C50" s="11" t="s">
        <v>8</v>
      </c>
      <c r="D50" t="str">
        <f t="shared" si="1"/>
        <v>Canada2026Marketing</v>
      </c>
      <c r="E50" s="26">
        <v>0.8</v>
      </c>
      <c r="F50" s="26">
        <v>0.1</v>
      </c>
    </row>
    <row r="51" spans="1:6" x14ac:dyDescent="0.3">
      <c r="A51" t="s">
        <v>15</v>
      </c>
      <c r="B51" s="1">
        <v>2027</v>
      </c>
      <c r="C51" s="11" t="s">
        <v>8</v>
      </c>
      <c r="D51" t="str">
        <f t="shared" si="1"/>
        <v>Canada2027Marketing</v>
      </c>
      <c r="E51" s="26">
        <v>0.70000000000000007</v>
      </c>
      <c r="F51" s="26">
        <v>0.2</v>
      </c>
    </row>
    <row r="52" spans="1:6" x14ac:dyDescent="0.3">
      <c r="A52" t="s">
        <v>15</v>
      </c>
      <c r="B52" s="1">
        <v>2018</v>
      </c>
      <c r="C52" s="11" t="s">
        <v>9</v>
      </c>
      <c r="D52" t="str">
        <f t="shared" si="1"/>
        <v>Canada2018Accounting</v>
      </c>
      <c r="E52" s="26">
        <v>0.8</v>
      </c>
      <c r="F52" s="26">
        <v>0.2</v>
      </c>
    </row>
    <row r="53" spans="1:6" x14ac:dyDescent="0.3">
      <c r="A53" t="s">
        <v>15</v>
      </c>
      <c r="B53" s="1">
        <v>2019</v>
      </c>
      <c r="C53" s="11" t="s">
        <v>9</v>
      </c>
      <c r="D53" t="str">
        <f t="shared" si="1"/>
        <v>Canada2019Accounting</v>
      </c>
      <c r="E53" s="26">
        <v>0.5</v>
      </c>
      <c r="F53" s="26">
        <v>0.2</v>
      </c>
    </row>
    <row r="54" spans="1:6" x14ac:dyDescent="0.3">
      <c r="A54" t="s">
        <v>15</v>
      </c>
      <c r="B54" s="1">
        <v>2020</v>
      </c>
      <c r="C54" s="11" t="s">
        <v>9</v>
      </c>
      <c r="D54" t="str">
        <f t="shared" si="1"/>
        <v>Canada2020Accounting</v>
      </c>
      <c r="E54" s="26">
        <v>0.70000000000000007</v>
      </c>
      <c r="F54" s="26">
        <v>0.2</v>
      </c>
    </row>
    <row r="55" spans="1:6" x14ac:dyDescent="0.3">
      <c r="A55" t="s">
        <v>15</v>
      </c>
      <c r="B55" s="1">
        <v>2021</v>
      </c>
      <c r="C55" s="11" t="s">
        <v>9</v>
      </c>
      <c r="D55" t="str">
        <f t="shared" si="1"/>
        <v>Canada2021Accounting</v>
      </c>
      <c r="E55" s="26">
        <v>0.8</v>
      </c>
      <c r="F55" s="26">
        <v>0.2</v>
      </c>
    </row>
    <row r="56" spans="1:6" x14ac:dyDescent="0.3">
      <c r="A56" t="s">
        <v>15</v>
      </c>
      <c r="B56" s="1">
        <v>2022</v>
      </c>
      <c r="C56" s="11" t="s">
        <v>9</v>
      </c>
      <c r="D56" t="str">
        <f t="shared" si="1"/>
        <v>Canada2022Accounting</v>
      </c>
      <c r="E56" s="26">
        <v>0.5</v>
      </c>
      <c r="F56" s="26">
        <v>0.1</v>
      </c>
    </row>
    <row r="57" spans="1:6" x14ac:dyDescent="0.3">
      <c r="A57" t="s">
        <v>15</v>
      </c>
      <c r="B57" s="1">
        <v>2023</v>
      </c>
      <c r="C57" s="11" t="s">
        <v>9</v>
      </c>
      <c r="D57" t="str">
        <f t="shared" si="1"/>
        <v>Canada2023Accounting</v>
      </c>
      <c r="E57" s="26">
        <v>0.8</v>
      </c>
      <c r="F57" s="26">
        <v>0.1</v>
      </c>
    </row>
    <row r="58" spans="1:6" x14ac:dyDescent="0.3">
      <c r="A58" t="s">
        <v>15</v>
      </c>
      <c r="B58" s="1">
        <v>2024</v>
      </c>
      <c r="C58" s="11" t="s">
        <v>9</v>
      </c>
      <c r="D58" t="str">
        <f t="shared" si="1"/>
        <v>Canada2024Accounting</v>
      </c>
      <c r="E58" s="26">
        <v>0.5</v>
      </c>
      <c r="F58" s="26">
        <v>0.1</v>
      </c>
    </row>
    <row r="59" spans="1:6" x14ac:dyDescent="0.3">
      <c r="A59" t="s">
        <v>15</v>
      </c>
      <c r="B59" s="1">
        <v>2025</v>
      </c>
      <c r="C59" s="11" t="s">
        <v>9</v>
      </c>
      <c r="D59" t="str">
        <f t="shared" si="1"/>
        <v>Canada2025Accounting</v>
      </c>
      <c r="E59" s="26">
        <v>0.5</v>
      </c>
      <c r="F59" s="26">
        <v>0.2</v>
      </c>
    </row>
    <row r="60" spans="1:6" x14ac:dyDescent="0.3">
      <c r="A60" t="s">
        <v>15</v>
      </c>
      <c r="B60" s="1">
        <v>2026</v>
      </c>
      <c r="C60" s="11" t="s">
        <v>9</v>
      </c>
      <c r="D60" t="str">
        <f t="shared" si="1"/>
        <v>Canada2026Accounting</v>
      </c>
      <c r="E60" s="26">
        <v>0.8</v>
      </c>
      <c r="F60" s="26">
        <v>0.1</v>
      </c>
    </row>
    <row r="61" spans="1:6" x14ac:dyDescent="0.3">
      <c r="A61" t="s">
        <v>15</v>
      </c>
      <c r="B61" s="1">
        <v>2027</v>
      </c>
      <c r="C61" s="11" t="s">
        <v>9</v>
      </c>
      <c r="D61" t="str">
        <f t="shared" si="1"/>
        <v>Canada2027Accounting</v>
      </c>
      <c r="E61" s="26">
        <v>0.60000000000000009</v>
      </c>
      <c r="F61" s="2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Financials USA</vt:lpstr>
      <vt:lpstr>Financials Canada</vt:lpstr>
      <vt:lpstr>Gross Profit &amp; EBITDA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rosa</dc:creator>
  <cp:lastModifiedBy>Zayn Sarf</cp:lastModifiedBy>
  <dcterms:created xsi:type="dcterms:W3CDTF">2024-01-22T20:20:01Z</dcterms:created>
  <dcterms:modified xsi:type="dcterms:W3CDTF">2026-09-10T09:54:59Z</dcterms:modified>
</cp:coreProperties>
</file>